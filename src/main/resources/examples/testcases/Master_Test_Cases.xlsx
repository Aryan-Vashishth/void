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Test Cases" state="visible" r:id="rId5"/>
    <sheet sheetId="3" name="Requirement Coverage" state="visible" r:id="rId6"/>
    <sheet sheetId="4" name="Defects" state="visible" r:id="rId7"/>
  </sheets>
  <calcPr calcId="171027" fullCalcOnLoad="1"/>
</workbook>
</file>

<file path=xl/sharedStrings.xml><?xml version="1.0" encoding="utf-8"?>
<sst xmlns="http://schemas.openxmlformats.org/spreadsheetml/2006/main" count="1269" uniqueCount="624">
  <si>
    <t>Master Test Cases</t>
  </si>
  <si>
    <t>Selenium + TestNG + Java, Page Object Model on the VOID runtime. Counts below are formulas over the Test Cases sheet.</t>
  </si>
  <si>
    <t>Applications</t>
  </si>
  <si>
    <t>SauceDemo (https://www.saucedemo.com), DemoQA (https://demoqa.com)</t>
  </si>
  <si>
    <t>Run everything</t>
  </si>
  <si>
    <t>mvn clean test "-Dsurefire.suiteXmlFiles=src/testNgXml/examples.xml"</t>
  </si>
  <si>
    <t>Headless</t>
  </si>
  <si>
    <t>add -Dheadless=true</t>
  </si>
  <si>
    <t>Extent report</t>
  </si>
  <si>
    <t>logs/extent-report/ExamplesSuite.html</t>
  </si>
  <si>
    <t>Last automated run</t>
  </si>
  <si>
    <t>2026-10-28T15:21:39 IST</t>
  </si>
  <si>
    <t>By application</t>
  </si>
  <si>
    <t>Application</t>
  </si>
  <si>
    <t>Total cases</t>
  </si>
  <si>
    <t>Automated</t>
  </si>
  <si>
    <t>Manual only</t>
  </si>
  <si>
    <t>Manual: Pass</t>
  </si>
  <si>
    <t>Manual: Fail</t>
  </si>
  <si>
    <t>Manual: Not run</t>
  </si>
  <si>
    <t>Automated: Pass</t>
  </si>
  <si>
    <t>SauceDemo</t>
  </si>
  <si>
    <t>DemoQA</t>
  </si>
  <si>
    <t>Total</t>
  </si>
  <si>
    <t>By module</t>
  </si>
  <si>
    <t>Module</t>
  </si>
  <si>
    <t>Login</t>
  </si>
  <si>
    <t>Landing Page</t>
  </si>
  <si>
    <t>Cart &amp; Checkout</t>
  </si>
  <si>
    <t>Practice Form</t>
  </si>
  <si>
    <t>Select Menu</t>
  </si>
  <si>
    <t>Upload and Download</t>
  </si>
  <si>
    <t>Buttons</t>
  </si>
  <si>
    <t>Check Box</t>
  </si>
  <si>
    <t>Legend</t>
  </si>
  <si>
    <t>Manual Status</t>
  </si>
  <si>
    <t>Result of executing the case by hand. "Fail" marks a product defect (see Defects).</t>
  </si>
  <si>
    <t>Last Automated Result</t>
  </si>
  <si>
    <t>From target/surefire-reports/testng-results.xml of the last run. "Pass (defect anchor)" means the test asserts the current defective behavior so a fix or regression is flagged.</t>
  </si>
  <si>
    <t>Severity / Priority</t>
  </si>
  <si>
    <t>Severity: impact on the user (Critical, High, Medium, Low). Priority: order to fix or run (P1 highest).</t>
  </si>
  <si>
    <t>Master Test Cases: SauceDemo and DemoQA</t>
  </si>
  <si>
    <t>Manual test cases for both applications, with the automated test that covers each one and its result from the last suite run.</t>
  </si>
  <si>
    <t>Test ID</t>
  </si>
  <si>
    <t>Component</t>
  </si>
  <si>
    <t>Precondition</t>
  </si>
  <si>
    <t>Description</t>
  </si>
  <si>
    <t>Detailed Steps</t>
  </si>
  <si>
    <t>Test Data</t>
  </si>
  <si>
    <t>Expected Result</t>
  </si>
  <si>
    <t>Actual Result</t>
  </si>
  <si>
    <t>Severity</t>
  </si>
  <si>
    <t>Priority</t>
  </si>
  <si>
    <t>Automation Method</t>
  </si>
  <si>
    <t>Notes</t>
  </si>
  <si>
    <t>LOGIN-01</t>
  </si>
  <si>
    <t>Text input, button</t>
  </si>
  <si>
    <t>Browser open, navigated to https://www.saucedemo.com/, login page loaded</t>
  </si>
  <si>
    <t>Valid login</t>
  </si>
  <si>
    <t>1. Enter username in Username field. 2. Enter password in Password field. 3. Click Login button.</t>
  </si>
  <si>
    <t>standard_user / secret_sauce</t>
  </si>
  <si>
    <t>User is authenticated and redirected to Products page (inventory.html)</t>
  </si>
  <si>
    <t>Redirected to inventory.html, products listed correctly</t>
  </si>
  <si>
    <t>Pass</t>
  </si>
  <si>
    <t>Critical</t>
  </si>
  <si>
    <t>P1</t>
  </si>
  <si>
    <t>Yes</t>
  </si>
  <si>
    <t>SauceDemoTest.login01_validLogin</t>
  </si>
  <si>
    <t/>
  </si>
  <si>
    <t>LOGIN-02</t>
  </si>
  <si>
    <t>Browser open, login page loaded, fields empty</t>
  </si>
  <si>
    <t>Empty username &amp; password validation</t>
  </si>
  <si>
    <t>1. Leave Username and Password fields blank. 2. Click Login button without entering anything.</t>
  </si>
  <si>
    <t>(blank) / (blank)</t>
  </si>
  <si>
    <t>Error message indicating username is required is displayed</t>
  </si>
  <si>
    <t>Epic sadface: Username is required</t>
  </si>
  <si>
    <t>Medium</t>
  </si>
  <si>
    <t>P2</t>
  </si>
  <si>
    <t>SauceDemoTest.login02_emptyCredentials</t>
  </si>
  <si>
    <t>LOGIN-03</t>
  </si>
  <si>
    <t>Browser open, login page loaded</t>
  </si>
  <si>
    <t>Empty password validation</t>
  </si>
  <si>
    <t>1. Enter username only. 2. Leave Password blank. 3. Click Login.</t>
  </si>
  <si>
    <t>standard_user / (blank)</t>
  </si>
  <si>
    <t>Error message indicating password is required is displayed</t>
  </si>
  <si>
    <t>Epic sadface: Password is required</t>
  </si>
  <si>
    <t>SauceDemoTest.login03_emptyPassword</t>
  </si>
  <si>
    <t>LOGIN-04</t>
  </si>
  <si>
    <t>Empty username validation</t>
  </si>
  <si>
    <t>1. Leave Username blank. 2. Enter password only. 3. Click Login.</t>
  </si>
  <si>
    <t>(blank) / secret_sauce</t>
  </si>
  <si>
    <t>Error message indicating username is required is displayed (takes priority over password check)</t>
  </si>
  <si>
    <t>SauceDemoTest.login04_emptyUsername</t>
  </si>
  <si>
    <t>Username check takes priority when both invalid</t>
  </si>
  <si>
    <t>LOGIN-05</t>
  </si>
  <si>
    <t>Invalid username/password combination</t>
  </si>
  <si>
    <t>1. Enter a valid username with an incorrect password. 2. Click Login.</t>
  </si>
  <si>
    <t>standard_user / wrongpass</t>
  </si>
  <si>
    <t>Generic authentication error is shown without revealing which field is incorrect</t>
  </si>
  <si>
    <t>Epic sadface: Username and password do not match any user in this service</t>
  </si>
  <si>
    <t>High</t>
  </si>
  <si>
    <t>SauceDemoTest.login05_invalidCredentials</t>
  </si>
  <si>
    <t>LOGIN-06</t>
  </si>
  <si>
    <t>Locked out user login attempt</t>
  </si>
  <si>
    <t>1. Enter locked_out_user credentials. 2. Click Login.</t>
  </si>
  <si>
    <t>locked_out_user / secret_sauce</t>
  </si>
  <si>
    <t>Access denied with a specific lockout message</t>
  </si>
  <si>
    <t>Epic sadface: Sorry, this user has been locked out.</t>
  </si>
  <si>
    <t>SauceDemoTest.login06_lockedOutUser</t>
  </si>
  <si>
    <t>LOGIN-07</t>
  </si>
  <si>
    <t>Username case sensitivity check</t>
  </si>
  <si>
    <t>1. Enter username with altered casing. 2. Enter correct password. 3. Click Login.</t>
  </si>
  <si>
    <t>Standard_User / secret_sauce</t>
  </si>
  <si>
    <t>Login should fail since usernames are case-sensitive</t>
  </si>
  <si>
    <t>Failed with 'do not match' error - confirmed case-sensitive</t>
  </si>
  <si>
    <t>P3</t>
  </si>
  <si>
    <t>SauceDemoTest.login07_usernameCaseSensitive</t>
  </si>
  <si>
    <t>LOGIN-08</t>
  </si>
  <si>
    <t>Leading/trailing whitespace handling</t>
  </si>
  <si>
    <t>1. Enter username with extra leading and trailing spaces. 2. Enter correct password. 3. Click Login.</t>
  </si>
  <si>
    <t>'  standard_user  ' / secret_sauce</t>
  </si>
  <si>
    <t>Login should fail unless whitespace is trimmed by the app</t>
  </si>
  <si>
    <t>Failed with 'do not match' error - whitespace not trimmed</t>
  </si>
  <si>
    <t>Pass (expected behavior)</t>
  </si>
  <si>
    <t>Low</t>
  </si>
  <si>
    <t>SauceDemoTest.login08_leadingTrailingWhitespace</t>
  </si>
  <si>
    <t>Whitespace not trimmed - acceptable for this demo app</t>
  </si>
  <si>
    <t>LOGIN-09</t>
  </si>
  <si>
    <t>SQL injection / script injection attempt</t>
  </si>
  <si>
    <t>1. Enter SQL injection string in Username field. 2. Enter script injection string in Password field. 3. Click Login.</t>
  </si>
  <si>
    <t>' OR '1'='1  /  &lt;script&gt;alert(1)&lt;/script&gt;</t>
  </si>
  <si>
    <t>No script execution or injection bypass; generic invalid-credentials error shown</t>
  </si>
  <si>
    <t>No script executed, generic 'do not match' error shown - no vulnerability found</t>
  </si>
  <si>
    <t>SauceDemoTest.login09_injectionAttempt</t>
  </si>
  <si>
    <t>No security vulnerability observed in this basic test</t>
  </si>
  <si>
    <t>LOGIN-10</t>
  </si>
  <si>
    <t>Password input</t>
  </si>
  <si>
    <t>Password field masking</t>
  </si>
  <si>
    <t>1. Click into Password field. 2. Type a password.</t>
  </si>
  <si>
    <t>any / secret_sauce</t>
  </si>
  <si>
    <t>Characters are masked/hidden as dots, not shown in plain text</t>
  </si>
  <si>
    <t>Confirmed masked display (type=password)</t>
  </si>
  <si>
    <t>SauceDemoTest.login10_passwordFieldMasked</t>
  </si>
  <si>
    <t>LOGIN-11</t>
  </si>
  <si>
    <t>Alternate valid user type login</t>
  </si>
  <si>
    <t>1. Enter problem_user credentials. 2. Click Login.</t>
  </si>
  <si>
    <t>problem_user / secret_sauce</t>
  </si>
  <si>
    <t>User authenticates successfully and is redirected to Products page</t>
  </si>
  <si>
    <t>Redirected successfully to inventory.html</t>
  </si>
  <si>
    <t>SauceDemoTest.login11_problemUser</t>
  </si>
  <si>
    <t>Known product-page display bugs for this user are out of scope for login testing</t>
  </si>
  <si>
    <t>LOGIN-12</t>
  </si>
  <si>
    <t>Button (error dismiss icon)</t>
  </si>
  <si>
    <t>Browser open, login page loaded, an error message is currently displayed</t>
  </si>
  <si>
    <t>Error message dismissal via close icon</t>
  </si>
  <si>
    <t>1. Trigger any login error. 2. Click the 'X' icon on the red error banner.</t>
  </si>
  <si>
    <t>any invalid combination</t>
  </si>
  <si>
    <t>Error banner closes/disappears from view</t>
  </si>
  <si>
    <t>Not fully verified visually in this test pass</t>
  </si>
  <si>
    <t>Not tested</t>
  </si>
  <si>
    <t>SauceDemoTest.login12_errorDismissal</t>
  </si>
  <si>
    <t>Recommend retesting explicitly with before/after screenshot</t>
  </si>
  <si>
    <t>LOGIN-13</t>
  </si>
  <si>
    <t>Button</t>
  </si>
  <si>
    <t>Login button always enabled (no client-side disable)</t>
  </si>
  <si>
    <t>1. Observe Login button state with empty fields. 2. Click it.</t>
  </si>
  <si>
    <t>(blank fields)</t>
  </si>
  <si>
    <t>Button remains clickable regardless of field state; validation happens on submit, not via disabling the button</t>
  </si>
  <si>
    <t>Confirmed - button always enabled, validation occurs after click</t>
  </si>
  <si>
    <t>SauceDemoTest.login13_loginButtonAlwaysEnabled</t>
  </si>
  <si>
    <t>LAND-01</t>
  </si>
  <si>
    <t>Page load, product list</t>
  </si>
  <si>
    <t>User has valid credentials and is on the login page</t>
  </si>
  <si>
    <t>Landing page loads after login</t>
  </si>
  <si>
    <t>1. Go to saucedemo.com. 2. Login with standard_user/secret_sauce. 3. Observe resulting page.</t>
  </si>
  <si>
    <t>URL changes to /inventory.html; header 'Swag Labs', 'Products' title, sort dropdown, 6 product cards (image, name, description, price, Add to cart), and footer with social icons &amp; copyright are all visible</t>
  </si>
  <si>
    <t>All elements loaded correctly as expected</t>
  </si>
  <si>
    <t>SauceDemoTest.land01_productsPageLoads</t>
  </si>
  <si>
    <t>LAND-02</t>
  </si>
  <si>
    <t>Dropdown (sort)</t>
  </si>
  <si>
    <t>User logged in, on Products page, default sort active</t>
  </si>
  <si>
    <t>Sort by Name (A to Z) - default</t>
  </si>
  <si>
    <t>1. On Products page, confirm dropdown shows 'Name (A to Z)' by default.</t>
  </si>
  <si>
    <t>N/A</t>
  </si>
  <si>
    <t>Products listed alphabetically: Backpack, Bike Light, Bolt T-Shirt, Fleece Jacket, Onesie, Test.allTheThings() T-Shirt</t>
  </si>
  <si>
    <t>Order matched alphabetical A-Z</t>
  </si>
  <si>
    <t>SauceDemoTest.land02_defaultSortAtoZ</t>
  </si>
  <si>
    <t>LAND-03</t>
  </si>
  <si>
    <t>User logged in, on Products page</t>
  </si>
  <si>
    <t>Sort by Name (Z to A)</t>
  </si>
  <si>
    <t>1. Click sort dropdown. 2. Select 'Name (Z to A)'.</t>
  </si>
  <si>
    <t>Product order reverses alphabetically (T-Shirt first, Backpack last)</t>
  </si>
  <si>
    <t>Order correctly reversed</t>
  </si>
  <si>
    <t>SauceDemoTest.land03_sortZtoA</t>
  </si>
  <si>
    <t>LAND-04</t>
  </si>
  <si>
    <t>Sort by Price (low to high)</t>
  </si>
  <si>
    <t>1. Click sort dropdown. 2. Select 'Price (low to high)'.</t>
  </si>
  <si>
    <t>Products ordered ascending from $7.99 to $49.99</t>
  </si>
  <si>
    <t>Order matched ascending price correctly</t>
  </si>
  <si>
    <t>SauceDemoTest.land04_sortPriceLowToHigh</t>
  </si>
  <si>
    <t>LAND-05</t>
  </si>
  <si>
    <t>Sort by Price (high to low)</t>
  </si>
  <si>
    <t>1. Click sort dropdown. 2. Select 'Price (high to low)'.</t>
  </si>
  <si>
    <t>Products ordered descending from $49.99 to $7.99</t>
  </si>
  <si>
    <t>Order matched descending price correctly</t>
  </si>
  <si>
    <t>SauceDemoTest.land05_sortPriceHighToLow</t>
  </si>
  <si>
    <t>LAND-06</t>
  </si>
  <si>
    <t>Button (add/remove)</t>
  </si>
  <si>
    <t>User logged in, on Products page, item not yet in cart</t>
  </si>
  <si>
    <t>Add single item to cart</t>
  </si>
  <si>
    <t>1. Click 'Add to cart' on Sauce Labs Backpack.</t>
  </si>
  <si>
    <t>Button label changes to 'Remove'; cart icon badge shows '1'</t>
  </si>
  <si>
    <t>Confirmed: button changed to Remove, badge showed 1</t>
  </si>
  <si>
    <t>SauceDemoTest.land06_addSingleItemToCart</t>
  </si>
  <si>
    <t>LAND-07</t>
  </si>
  <si>
    <t>User logged in, on Products page, cart empty</t>
  </si>
  <si>
    <t>Add multiple items to cart</t>
  </si>
  <si>
    <t>1. Click 'Add to cart' on Backpack. 2. Click 'Add to cart' on Bike Light.</t>
  </si>
  <si>
    <t>Both buttons change to 'Remove'; cart badge shows '2'</t>
  </si>
  <si>
    <t>Badge correctly showed 2, both buttons updated</t>
  </si>
  <si>
    <t>SauceDemoTest.land07_addTwoItemsToCart</t>
  </si>
  <si>
    <t>LAND-08</t>
  </si>
  <si>
    <t>User logged in, at least one item already in cart</t>
  </si>
  <si>
    <t>Remove item from cart (from Products page)</t>
  </si>
  <si>
    <t>1. With an item in cart, click 'Remove' on that item's card.</t>
  </si>
  <si>
    <t>Button reverts to 'Add to cart'; cart badge decrements by 1</t>
  </si>
  <si>
    <t>Badge updated correctly, button reverted correctly</t>
  </si>
  <si>
    <t>SauceDemoTest.land08_removeItemFromProductsPage</t>
  </si>
  <si>
    <t>LAND-09</t>
  </si>
  <si>
    <t>Icon link (cart)</t>
  </si>
  <si>
    <t>User logged in, at least one item in cart</t>
  </si>
  <si>
    <t>Cart icon navigation</t>
  </si>
  <si>
    <t>1. Click the cart icon in the top right corner.</t>
  </si>
  <si>
    <t>Navigates to /cart.html showing 'Your Cart' with correct item(s), quantity, price, Remove button, Continue Shopping &amp; Checkout buttons</t>
  </si>
  <si>
    <t>Navigated correctly, showed correct item details</t>
  </si>
  <si>
    <t>SauceDemoTest.land09_cartIconNavigation</t>
  </si>
  <si>
    <t>Cart icon click sometimes required a precise click coordinate to register</t>
  </si>
  <si>
    <t>LAND-10</t>
  </si>
  <si>
    <t>User logged in, on cart page with item(s)</t>
  </si>
  <si>
    <t>Continue Shopping from cart</t>
  </si>
  <si>
    <t>1. On cart page, click 'Continue Shopping'.</t>
  </si>
  <si>
    <t>Navigates back to /inventory.html (Products page)</t>
  </si>
  <si>
    <t>Returned to Products page correctly</t>
  </si>
  <si>
    <t>SauceDemoTest.land10_continueShoppingFromCart</t>
  </si>
  <si>
    <t>LAND-11</t>
  </si>
  <si>
    <t>Menu, button</t>
  </si>
  <si>
    <t>Hamburger menu opens</t>
  </si>
  <si>
    <t>1. Click hamburger icon (top left).</t>
  </si>
  <si>
    <t>Side menu slides in showing: All Items, About, Logout, Reset App State, plus a Close (X) button</t>
  </si>
  <si>
    <t>All four links present and visible</t>
  </si>
  <si>
    <t>SauceDemoTest.land11_hamburgerMenuOpens</t>
  </si>
  <si>
    <t>LAND-12</t>
  </si>
  <si>
    <t>User logged in, at least one item in cart, menu open</t>
  </si>
  <si>
    <t>Reset App State</t>
  </si>
  <si>
    <t>1. Open menu. 2. Click 'Reset App State'.</t>
  </si>
  <si>
    <t>Cart badge clears to 0 AND all 'Remove' buttons revert to 'Add to cart'</t>
  </si>
  <si>
    <t>Cart badge cleared, but product's button still displayed 'Remove' instead of reverting until page refresh</t>
  </si>
  <si>
    <t>Fail (minor defect)</t>
  </si>
  <si>
    <t>SauceDemoTest.land12_resetAppState</t>
  </si>
  <si>
    <t>Pass (defect anchor)</t>
  </si>
  <si>
    <t>UI inconsistency: button state not synced with cart badge after Reset App State</t>
  </si>
  <si>
    <t>LAND-13</t>
  </si>
  <si>
    <t>User logged in, hamburger menu open</t>
  </si>
  <si>
    <t>Close menu (X button)</t>
  </si>
  <si>
    <t>1. With menu open, click the 'X' close icon.</t>
  </si>
  <si>
    <t>Menu slides closed, returns to normal page view</t>
  </si>
  <si>
    <t>Menu closed successfully</t>
  </si>
  <si>
    <t>SauceDemoTest.land13_closeHamburgerMenu</t>
  </si>
  <si>
    <t>LAND-14</t>
  </si>
  <si>
    <t>Link (footer)</t>
  </si>
  <si>
    <t>User logged in, on Products page, footer visible</t>
  </si>
  <si>
    <t>Footer social link - X (formerly Twitter)</t>
  </si>
  <si>
    <t>1. Locate 'X' link in footer and inspect its href.</t>
  </si>
  <si>
    <t>Link href points to Sauce Labs' official X page</t>
  </si>
  <si>
    <t>href="https://x.com/saucelabs" - correct</t>
  </si>
  <si>
    <t>SauceDemoTest.land14_footerTwitterLink</t>
  </si>
  <si>
    <t>Link not clicked/navigated to avoid leaving the app domain. Site renamed the link from Twitter (social-twitter) to X (social-x); re-verified 2026-10-28</t>
  </si>
  <si>
    <t>LAND-15</t>
  </si>
  <si>
    <t>Footer social link - Facebook</t>
  </si>
  <si>
    <t>1. Locate 'Facebook' link in footer and inspect its href.</t>
  </si>
  <si>
    <t>Link href points to Sauce Labs' official Facebook page</t>
  </si>
  <si>
    <t>href="https://www.facebook.com/saucelabs" - correct</t>
  </si>
  <si>
    <t>SauceDemoTest.land15_footerFacebookLink</t>
  </si>
  <si>
    <t>Link not clicked/navigated to avoid leaving the app domain</t>
  </si>
  <si>
    <t>LAND-16</t>
  </si>
  <si>
    <t>Footer social link - LinkedIn</t>
  </si>
  <si>
    <t>1. Locate 'LinkedIn' link in footer and inspect its href.</t>
  </si>
  <si>
    <t>Link href points to Sauce Labs' official LinkedIn page</t>
  </si>
  <si>
    <t>href="https://www.linkedin.com/company/sauce-labs/" - correct</t>
  </si>
  <si>
    <t>SauceDemoTest.land16_footerLinkedInLink</t>
  </si>
  <si>
    <t>LAND-17</t>
  </si>
  <si>
    <t>Menu link</t>
  </si>
  <si>
    <t>Logout functionality</t>
  </si>
  <si>
    <t>1. Open hamburger menu. 2. Click 'Logout'.</t>
  </si>
  <si>
    <t>Redirects to login page (saucedemo.com) and session/cart state ends</t>
  </si>
  <si>
    <t>Redirected to login page successfully, fields empty</t>
  </si>
  <si>
    <t>SauceDemoTest.land17_logout</t>
  </si>
  <si>
    <t>Cart contents were observed to persist in local/session storage across a subsequent login in later testing</t>
  </si>
  <si>
    <t>CART-01</t>
  </si>
  <si>
    <t>User logged in, item added to cart</t>
  </si>
  <si>
    <t>Navigate to cart with item</t>
  </si>
  <si>
    <t>1. Add 'Sauce Labs Onesie' to cart. 2. Click cart icon.</t>
  </si>
  <si>
    <t>Navigates to /cart.html showing correct item, qty, price</t>
  </si>
  <si>
    <t>Correctly showed 1x Onesie, $7.99</t>
  </si>
  <si>
    <t>SauceDemoTest.cart01_cartShowsCorrectItem</t>
  </si>
  <si>
    <t>CART-02</t>
  </si>
  <si>
    <t>Proceed to Checkout</t>
  </si>
  <si>
    <t>1. On cart page, click 'Checkout'.</t>
  </si>
  <si>
    <t>Navigates to /checkout-step-one.html with 'Checkout: Your Information' form</t>
  </si>
  <si>
    <t>Navigated correctly</t>
  </si>
  <si>
    <t>SauceDemoTest.cart02_proceedToCheckout</t>
  </si>
  <si>
    <t>CART-03</t>
  </si>
  <si>
    <t>Text input (checkout form), button</t>
  </si>
  <si>
    <t>User on checkout-step-one.html, all fields blank</t>
  </si>
  <si>
    <t>Checkout validation - empty First Name</t>
  </si>
  <si>
    <t>1. Leave all fields blank. 2. Click 'Continue'.</t>
  </si>
  <si>
    <t>(blank)</t>
  </si>
  <si>
    <t>Error: 'First Name is required'</t>
  </si>
  <si>
    <t>Matched exactly</t>
  </si>
  <si>
    <t>SauceDemoTest.cart03_checkoutEmptyFirstName</t>
  </si>
  <si>
    <t>CART-04</t>
  </si>
  <si>
    <t>User on checkout-step-one.html, First Name filled only</t>
  </si>
  <si>
    <t>Checkout validation - empty Last Name</t>
  </si>
  <si>
    <t>1. Fill First Name only. 2. Click 'Continue'.</t>
  </si>
  <si>
    <t>First Name = John</t>
  </si>
  <si>
    <t>Error: 'Last Name is required'</t>
  </si>
  <si>
    <t>SauceDemoTest.cart04_checkoutEmptyLastName</t>
  </si>
  <si>
    <t>CART-05</t>
  </si>
  <si>
    <t>User on checkout-step-one.html, First+Last Name filled</t>
  </si>
  <si>
    <t>Checkout validation - empty Postal Code</t>
  </si>
  <si>
    <t>1. Fill First + Last Name. 2. Click 'Continue'.</t>
  </si>
  <si>
    <t>First=John, Last=Doe</t>
  </si>
  <si>
    <t>Error: 'Postal Code is required'</t>
  </si>
  <si>
    <t>SauceDemoTest.cart05_checkoutEmptyPostalCode</t>
  </si>
  <si>
    <t>CART-06</t>
  </si>
  <si>
    <t>User on checkout-step-one.html, all fields filled correctly</t>
  </si>
  <si>
    <t>Checkout step one success</t>
  </si>
  <si>
    <t>1. Fill all 3 fields correctly. 2. Click 'Continue'.</t>
  </si>
  <si>
    <t>John / Doe / 12345</t>
  </si>
  <si>
    <t>Navigates to /checkout-step-two.html (Overview)</t>
  </si>
  <si>
    <t>SauceDemoTest.cart06_checkoutStepOneSuccess</t>
  </si>
  <si>
    <t>CART-07</t>
  </si>
  <si>
    <t>Read-only values (totals)</t>
  </si>
  <si>
    <t>User on checkout-step-two.html (Overview) with item(s) in cart</t>
  </si>
  <si>
    <t>Checkout overview totals accuracy</t>
  </si>
  <si>
    <t>1. On Overview page, review Item total, Tax, and Total values against expected calculation.</t>
  </si>
  <si>
    <t>1 item ($7.99); 3 items ($55.97 combined)</t>
  </si>
  <si>
    <t>Total = Item total + Tax, calculated correctly at ~8% tax rate</t>
  </si>
  <si>
    <t>Single item: $7.99 + $0.64 tax = $8.63 total. 3 items: $55.97 + $4.48 tax = $60.45 total. Both correct.</t>
  </si>
  <si>
    <t>SauceDemoTest.cart07_checkoutOverviewTotals</t>
  </si>
  <si>
    <t>CART-08</t>
  </si>
  <si>
    <t>User on checkout-step-two.html (Overview)</t>
  </si>
  <si>
    <t>Complete order (Finish)</t>
  </si>
  <si>
    <t>1. On Overview page, click 'Finish'.</t>
  </si>
  <si>
    <t>Navigates to /checkout-complete.html with 'Thank you for your order!' message; cart clears</t>
  </si>
  <si>
    <t>Order completed, cart badge cleared correctly</t>
  </si>
  <si>
    <t>SauceDemoTest.cart08_completeOrder</t>
  </si>
  <si>
    <t>CART-09</t>
  </si>
  <si>
    <t>User on checkout-complete.html after finishing an order</t>
  </si>
  <si>
    <t>Back Home after order</t>
  </si>
  <si>
    <t>1. On complete page, click 'Back Home'.</t>
  </si>
  <si>
    <t>Returns to /inventory.html, cart empty, all buttons show 'Add to cart'</t>
  </si>
  <si>
    <t>Confirmed correct - cart fully cleared and all buttons reverted</t>
  </si>
  <si>
    <t>SauceDemoTest.cart09_backHomeAfterOrder</t>
  </si>
  <si>
    <t>CART-10</t>
  </si>
  <si>
    <t>User on checkout-step-one.html with item(s) in cart</t>
  </si>
  <si>
    <t>Cancel on checkout step one</t>
  </si>
  <si>
    <t>1. From step one, click 'Cancel'.</t>
  </si>
  <si>
    <t>Returns to /cart.html, cart items preserved</t>
  </si>
  <si>
    <t>Returned to cart page, item retained</t>
  </si>
  <si>
    <t>SauceDemoTest.cart10_cancelOnCheckoutStepOne</t>
  </si>
  <si>
    <t>CART-11</t>
  </si>
  <si>
    <t>Cancel on checkout overview (step two)</t>
  </si>
  <si>
    <t>1. From step two, click 'Cancel'.</t>
  </si>
  <si>
    <t>Returns to cart page (consistent with step-one Cancel), item preserved</t>
  </si>
  <si>
    <t>Returned directly to /inventory.html instead of /cart.html - inconsistent with step-one Cancel behavior</t>
  </si>
  <si>
    <t>Fail (minor inconsistency)</t>
  </si>
  <si>
    <t>SauceDemoTest.cart11_cancelOnCheckoutStepTwo</t>
  </si>
  <si>
    <t>Cancel behavior differs between step one and step two - recommend standardizing to always return to cart.html</t>
  </si>
  <si>
    <t>CART-12</t>
  </si>
  <si>
    <t>User logged in, on cart.html with item(s)</t>
  </si>
  <si>
    <t>Remove item from Cart page</t>
  </si>
  <si>
    <t>1. On cart.html, click 'Remove' on an item.</t>
  </si>
  <si>
    <t>Item removed, cart badge updates/disappears, user stays on cart.html</t>
  </si>
  <si>
    <t>Confirmed correct, cart badge disappeared, remained on cart page</t>
  </si>
  <si>
    <t>SauceDemoTest.cart12_removeItemFromCartPage</t>
  </si>
  <si>
    <t>CART-13</t>
  </si>
  <si>
    <t>User logged in, cart is empty</t>
  </si>
  <si>
    <t>Checkout with empty cart</t>
  </si>
  <si>
    <t>1. Ensure cart is empty. 2. Click 'Checkout' anyway. 3. Fill info form. 4. Click Finish.</t>
  </si>
  <si>
    <t>First=Test, Last=User, Zip=00000</t>
  </si>
  <si>
    <t>System should block checkout or display a 'cart is empty' message rather than allowing an order</t>
  </si>
  <si>
    <t>System allowed proceeding through the full checkout flow with $0.00 item total, $0.00 tax, and completed the order successfully with a confirmation page</t>
  </si>
  <si>
    <t>Fail (functional defect)</t>
  </si>
  <si>
    <t>SauceDemoTest.cart13_emptyCartCheckout</t>
  </si>
  <si>
    <t>Should not be possible to place a $0 order with no items; recommend adding validation</t>
  </si>
  <si>
    <t>CART-14</t>
  </si>
  <si>
    <t>Button (PDF download)</t>
  </si>
  <si>
    <t>User on checkout-complete.html after completing an order with an empty cart</t>
  </si>
  <si>
    <t>Generate PDF order (single/empty cart)</t>
  </si>
  <si>
    <t>1. Complete checkout with an empty cart. 2. Click 'Generate PDF order'.</t>
  </si>
  <si>
    <t>PDF is generated and downloaded reflecting the order details with a $0 total</t>
  </si>
  <si>
    <t>PDF confirmed by user: Ship To 'Test User/00000', Item total $0.00, Tax $0.00, Total $0.00 - matched exactly</t>
  </si>
  <si>
    <t>SauceDemoTest.cart14_generatePdfEmptyCart</t>
  </si>
  <si>
    <t>Verified via user-provided screenshot of downloaded PDF</t>
  </si>
  <si>
    <t>CART-15</t>
  </si>
  <si>
    <t>User on checkout-complete.html after completing an order with 3 items in cart</t>
  </si>
  <si>
    <t>Generate PDF order (multiple items)</t>
  </si>
  <si>
    <t>1. Complete checkout with 3 items in cart (Backpack, Bike Light, Bolt T-Shirt). 2. Click 'Generate PDF order'.</t>
  </si>
  <si>
    <t>3 items totaling $55.97 + $4.48 tax = $60.45</t>
  </si>
  <si>
    <t>PDF is generated and downloaded reflecting all items, correct descriptions, prices, and totals</t>
  </si>
  <si>
    <t>PDF confirmed by user: all 3 items listed correctly, Item total $55.97, Tax $4.48, Total $60.45 - matched exactly</t>
  </si>
  <si>
    <t>SauceDemoTest.cart15_generatePdfMultipleItems</t>
  </si>
  <si>
    <t>FORM-01</t>
  </si>
  <si>
    <t>Text, number, radio, date dropdowns, multi-select, checkbox, upload, dependent dropdowns, button</t>
  </si>
  <si>
    <t>Browser open at https://demoqa.com/automation-practice-form</t>
  </si>
  <si>
    <t>Submit fully populated form</t>
  </si>
  <si>
    <t>1. Enter First Name, Last Name, Email. 2. Select Gender. 3. Enter Mobile. 4. Open Date of Birth picker, choose month and year from dropdowns, click day. 5. Add two Subjects. 6. Check two Hobbies. 7. Upload Picture. 8. Enter Current Address. 9. Select State, then City. 10. Click Submit.</t>
  </si>
  <si>
    <t>Priya / Sharma / priya.sharma@example.com / Female / 9876543210 / 15 Jan 1995 / Maths, Physics / Sports, Music / profile-picture.png / 221B Baker Street / NCR, Delhi</t>
  </si>
  <si>
    <t>Confirmation modal 'Thanks for submitting the form' lists every entered value</t>
  </si>
  <si>
    <t>Modal shown; all 10 rows match input</t>
  </si>
  <si>
    <t>DemoQATest.form01_submitAllFields</t>
  </si>
  <si>
    <t>End-to-end coverage of every input type on one add form</t>
  </si>
  <si>
    <t>FORM-02</t>
  </si>
  <si>
    <t>Text, radio, button</t>
  </si>
  <si>
    <t>Practice form loaded, all fields empty</t>
  </si>
  <si>
    <t>Empty submit is blocked</t>
  </si>
  <si>
    <t>1. Click Submit without entering anything.</t>
  </si>
  <si>
    <t>Modal does not open; First Name, Last Name, Mobile and Gender report required-field messages; optional Email reports none</t>
  </si>
  <si>
    <t>Modal not shown; required fields flagged</t>
  </si>
  <si>
    <t>DemoQATest.form02_emptySubmitBlocked</t>
  </si>
  <si>
    <t>FORM-03</t>
  </si>
  <si>
    <t>Number input</t>
  </si>
  <si>
    <t>Practice form loaded</t>
  </si>
  <si>
    <t>Mobile number max length</t>
  </si>
  <si>
    <t>1. Type 12 digits into Mobile.</t>
  </si>
  <si>
    <t>123456789012</t>
  </si>
  <si>
    <t>Field value is truncated to the first 10 digits</t>
  </si>
  <si>
    <t>Value is 1234567890</t>
  </si>
  <si>
    <t>DemoQATest.form03_mobileMaxLength</t>
  </si>
  <si>
    <t>maxlength=10</t>
  </si>
  <si>
    <t>FORM-04</t>
  </si>
  <si>
    <t>Non-numeric mobile number rejected</t>
  </si>
  <si>
    <t>1. Fill required fields with letters in Mobile. 2. Click Submit.</t>
  </si>
  <si>
    <t>abcdefghij</t>
  </si>
  <si>
    <t>Mobile reports a pattern error; modal does not open</t>
  </si>
  <si>
    <t>Pattern error shown; submit blocked</t>
  </si>
  <si>
    <t>DemoQATest.form04_mobileNonNumericRejected</t>
  </si>
  <si>
    <t>pattern=\d*</t>
  </si>
  <si>
    <t>FORM-05</t>
  </si>
  <si>
    <t>Text input (email)</t>
  </si>
  <si>
    <t>Malformed email rejected</t>
  </si>
  <si>
    <t>1. Fill required fields. 2. Enter email without a TLD. 3. Click Submit.</t>
  </si>
  <si>
    <t>priya.sharma@invalid</t>
  </si>
  <si>
    <t>Email reports a pattern error; modal does not open</t>
  </si>
  <si>
    <t>DemoQATest.form05_invalidEmailRejected</t>
  </si>
  <si>
    <t>FORM-06</t>
  </si>
  <si>
    <t>Multi-select</t>
  </si>
  <si>
    <t>Subjects multi-select add and remove</t>
  </si>
  <si>
    <t>1. Type and select Maths, Physics, English. 2. Click the x on Physics.</t>
  </si>
  <si>
    <t>Maths, Physics, English</t>
  </si>
  <si>
    <t>Three chips appear in order; after removal Maths and English remain</t>
  </si>
  <si>
    <t>Chips added and removed as expected</t>
  </si>
  <si>
    <t>DemoQATest.form06_subjectsMultiSelect</t>
  </si>
  <si>
    <t>react-select autocomplete</t>
  </si>
  <si>
    <t>FORM-07</t>
  </si>
  <si>
    <t>Checkbox</t>
  </si>
  <si>
    <t>Hobby checkboxes check, uncheck, idempotent</t>
  </si>
  <si>
    <t>1. Check Sports and Music. 2. Toggle Sports. 3. Set Music to checked again.</t>
  </si>
  <si>
    <t>Sports, Music</t>
  </si>
  <si>
    <t>Sports and Music checked, Reading unchecked; after toggle Sports unchecked; Music stays checked</t>
  </si>
  <si>
    <t>As expected</t>
  </si>
  <si>
    <t>DemoQATest.form07_hobbyCheckboxes</t>
  </si>
  <si>
    <t>FORM-08</t>
  </si>
  <si>
    <t>Radio button</t>
  </si>
  <si>
    <t>Gender radios are mutually exclusive</t>
  </si>
  <si>
    <t>1. Select Female. 2. Select Male.</t>
  </si>
  <si>
    <t>Female, Male</t>
  </si>
  <si>
    <t>Only Male is selected after step 2</t>
  </si>
  <si>
    <t>Only Male selected</t>
  </si>
  <si>
    <t>DemoQATest.form08_genderRadioExclusive</t>
  </si>
  <si>
    <t>FORM-09</t>
  </si>
  <si>
    <t>Dropdown (dependent)</t>
  </si>
  <si>
    <t>City enabled only after State</t>
  </si>
  <si>
    <t>1. Observe City. 2. Select State. 3. Select City.</t>
  </si>
  <si>
    <t>Uttar Pradesh / Lucknow</t>
  </si>
  <si>
    <t>City disabled before a state is chosen; enabled after; both selections displayed</t>
  </si>
  <si>
    <t>DemoQATest.form09_dependentStateCityDropdowns</t>
  </si>
  <si>
    <t>FORM-10</t>
  </si>
  <si>
    <t>Dropdown (date picker)</t>
  </si>
  <si>
    <t>Date picker month/year dropdowns</t>
  </si>
  <si>
    <t>1. Open Date of Birth. 2. Choose month and year from dropdowns. 3. Click day.</t>
  </si>
  <si>
    <t>August / 1990 / 21</t>
  </si>
  <si>
    <t>Date of Birth shows 21 Aug 1990</t>
  </si>
  <si>
    <t>Shows 21 Aug 1990</t>
  </si>
  <si>
    <t>DemoQATest.form10_datePickerDropdowns</t>
  </si>
  <si>
    <t>FORM-11</t>
  </si>
  <si>
    <t>Form submitted, confirmation modal open</t>
  </si>
  <si>
    <t>Close button dismisses modal</t>
  </si>
  <si>
    <t>1. Submit a valid form. 2. Click Close. 3. Press Escape.</t>
  </si>
  <si>
    <t>Valid required fields</t>
  </si>
  <si>
    <t>Close dismisses the modal</t>
  </si>
  <si>
    <t>Close is clickable but modal stays open (native and JS click). Escape dismisses it.</t>
  </si>
  <si>
    <t>Fail (defect)</t>
  </si>
  <si>
    <t>DemoQATest.form11_closeConfirmationModal</t>
  </si>
  <si>
    <t>KNOWN DEFECT: test asserts current behavior as a regression anchor</t>
  </si>
  <si>
    <t>SEL-01</t>
  </si>
  <si>
    <t>Dropdown (native single)</t>
  </si>
  <si>
    <t>Browser open at https://demoqa.com/select-menu</t>
  </si>
  <si>
    <t>Single select keeps last option</t>
  </si>
  <si>
    <t>1. Select Purple in Old Style Select Menu. 2. Select Aqua.</t>
  </si>
  <si>
    <t>Purple, Aqua</t>
  </si>
  <si>
    <t>Purple selected after step 1; only Aqua selected after step 2</t>
  </si>
  <si>
    <t>DemoQATest.sel01_singleSelect</t>
  </si>
  <si>
    <t>SEL-02</t>
  </si>
  <si>
    <t>Multi-select (native)</t>
  </si>
  <si>
    <t>Select menu page loaded</t>
  </si>
  <si>
    <t>Native multi-select accumulates options</t>
  </si>
  <si>
    <t>1. Select Volvo. 2. Select Audi in Standard multi select.</t>
  </si>
  <si>
    <t>Volvo, Audi</t>
  </si>
  <si>
    <t>Both Volvo and Audi are selected</t>
  </si>
  <si>
    <t>Both selected</t>
  </si>
  <si>
    <t>DemoQATest.sel02_multiSelect</t>
  </si>
  <si>
    <t>FILE-01</t>
  </si>
  <si>
    <t>File upload</t>
  </si>
  <si>
    <t>Browser open at https://demoqa.com/upload-download</t>
  </si>
  <si>
    <t>Upload an image</t>
  </si>
  <si>
    <t>1. Choose a file in 'Select a file'.</t>
  </si>
  <si>
    <t>profile-picture.png</t>
  </si>
  <si>
    <t>Uploaded path shown ending with the file name</t>
  </si>
  <si>
    <t>C:\fakepath\profile-picture.png</t>
  </si>
  <si>
    <t>DemoQATest.file01_uploadImage</t>
  </si>
  <si>
    <t>FILE-02</t>
  </si>
  <si>
    <t>File download, button</t>
  </si>
  <si>
    <t>Upload and download page loaded; downloads directory configured</t>
  </si>
  <si>
    <t>Download an image</t>
  </si>
  <si>
    <t>1. Click Download. 2. Check the downloads directory.</t>
  </si>
  <si>
    <t>sampleFile.jpeg</t>
  </si>
  <si>
    <t>sampleFile.jpeg saved, non-empty, valid JPEG header</t>
  </si>
  <si>
    <t>Saved, starts with FF D8</t>
  </si>
  <si>
    <t>DemoQATest.file02_downloadImage</t>
  </si>
  <si>
    <t>BTN-01</t>
  </si>
  <si>
    <t>Browser open at https://demoqa.com/buttons</t>
  </si>
  <si>
    <t>Click button with generated id</t>
  </si>
  <si>
    <t>1. Click 'Click Me'.</t>
  </si>
  <si>
    <t>Message 'You have done a dynamic click' shown</t>
  </si>
  <si>
    <t>Message shown</t>
  </si>
  <si>
    <t>DemoQATest.btn01_dynamicClick</t>
  </si>
  <si>
    <t>Located by text because id changes per render</t>
  </si>
  <si>
    <t>BTN-02</t>
  </si>
  <si>
    <t>Buttons page loaded</t>
  </si>
  <si>
    <t>Double click button</t>
  </si>
  <si>
    <t>1. Double click 'Double Click Me'.</t>
  </si>
  <si>
    <t>Message 'You have done a double click' shown</t>
  </si>
  <si>
    <t>Not run</t>
  </si>
  <si>
    <t>No</t>
  </si>
  <si>
    <t>Runtime has no double-click capability yet</t>
  </si>
  <si>
    <t>BTN-03</t>
  </si>
  <si>
    <t>Right click button</t>
  </si>
  <si>
    <t>1. Right click 'Right Click Me'.</t>
  </si>
  <si>
    <t>Message 'You have done a right click' shown</t>
  </si>
  <si>
    <t>Runtime has no context-click capability yet</t>
  </si>
  <si>
    <t>CHK-01</t>
  </si>
  <si>
    <t>Checkbox (tree)</t>
  </si>
  <si>
    <t>Browser open at https://demoqa.com/checkbox</t>
  </si>
  <si>
    <t>Parent check propagates to descendants</t>
  </si>
  <si>
    <t>1. Check Home. 2. Expand Home.</t>
  </si>
  <si>
    <t>Desktop, Documents, Downloads checked; result lists home and all 16 descendants</t>
  </si>
  <si>
    <t>17 items listed</t>
  </si>
  <si>
    <t>DemoQATest.chk01_parentChecksDescendants</t>
  </si>
  <si>
    <t>CHK-02</t>
  </si>
  <si>
    <t>Check box page loaded</t>
  </si>
  <si>
    <t>Unchecking a child makes parent partial</t>
  </si>
  <si>
    <t>1. Check Home. 2. Expand Home. 3. Uncheck Desktop.</t>
  </si>
  <si>
    <t>Home no longer fully checked; home and desktop drop out of the result; documents remains</t>
  </si>
  <si>
    <t>DemoQATest.chk02_childUncheckMakesParentPartial</t>
  </si>
  <si>
    <t>Requirement Coverage</t>
  </si>
  <si>
    <t>Each requirement and the test cases that cover it.</t>
  </si>
  <si>
    <t>Requirement</t>
  </si>
  <si>
    <t>Where</t>
  </si>
  <si>
    <t>Test IDs</t>
  </si>
  <si>
    <t>Cases</t>
  </si>
  <si>
    <t>Add/edit form with multiple input types</t>
  </si>
  <si>
    <t>DemoQA Practice Form; SauceDemo checkout form</t>
  </si>
  <si>
    <t>FORM-01, CART-03, CART-04, CART-05, CART-06</t>
  </si>
  <si>
    <t>Text input</t>
  </si>
  <si>
    <t>Login, checkout, Practice Form</t>
  </si>
  <si>
    <t>LOGIN-01, LOGIN-05, LOGIN-07, LOGIN-08, LOGIN-09, LOGIN-10, CART-06, FORM-01, FORM-02, FORM-05</t>
  </si>
  <si>
    <t>Practice Form mobile number</t>
  </si>
  <si>
    <t>FORM-03, FORM-04</t>
  </si>
  <si>
    <t>Dropdown (single select)</t>
  </si>
  <si>
    <t>Product sort; Select Menu; date picker; State/City</t>
  </si>
  <si>
    <t>LAND-02, LAND-03, LAND-04, LAND-05, SEL-01, FORM-09, FORM-10</t>
  </si>
  <si>
    <t>Subjects autocomplete; native multi select</t>
  </si>
  <si>
    <t>FORM-06, SEL-02</t>
  </si>
  <si>
    <t>Checkboxes</t>
  </si>
  <si>
    <t>Hobbies; checkbox tree</t>
  </si>
  <si>
    <t>FORM-07, CHK-01, CHK-02</t>
  </si>
  <si>
    <t>Radio buttons</t>
  </si>
  <si>
    <t>Gender</t>
  </si>
  <si>
    <t>Login, cart, menu, checkout, DemoQA buttons</t>
  </si>
  <si>
    <t>LOGIN-12, LOGIN-13, LAND-06, LAND-07, LAND-08, LAND-10, LAND-11, LAND-13, CART-02, CART-08, CART-10, CART-11, BTN-01, BTN-02, BTN-03, FORM-11</t>
  </si>
  <si>
    <t>Image upload</t>
  </si>
  <si>
    <t>Practice Form picture; Upload page</t>
  </si>
  <si>
    <t>FORM-01, FILE-01</t>
  </si>
  <si>
    <t>Image / file download</t>
  </si>
  <si>
    <t>Upload and Download page; order PDF</t>
  </si>
  <si>
    <t>FILE-02, CART-14, CART-15</t>
  </si>
  <si>
    <t>Negative and validation cases</t>
  </si>
  <si>
    <t>LOGIN-02, LOGIN-03, LOGIN-04, LOGIN-05, LOGIN-06, LOGIN-09, CART-03, CART-04, CART-05, CART-13, FORM-02, FORM-04, FORM-05</t>
  </si>
  <si>
    <t>End-to-end flows</t>
  </si>
  <si>
    <t>Purchase; form submission</t>
  </si>
  <si>
    <t>CART-08, CART-09, FORM-01</t>
  </si>
  <si>
    <t>Defects</t>
  </si>
  <si>
    <t>Each defect is kept as an automated regression anchor: the test asserts today's behavior and will fail when it changes.</t>
  </si>
  <si>
    <t>Defect</t>
  </si>
  <si>
    <t>Summary</t>
  </si>
  <si>
    <t>Steps to reproduce</t>
  </si>
  <si>
    <t>Expected</t>
  </si>
  <si>
    <t>Actual</t>
  </si>
  <si>
    <t>DEF-01</t>
  </si>
  <si>
    <t>DEF-02</t>
  </si>
  <si>
    <t>DEF-03</t>
  </si>
  <si>
    <t>DEF-04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</si>
</sst>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3864"/>
      <sz val="14"/>
      <name val="Arial"/>
    </font>
    <font>
      <i/>
      <color rgb="FF595959"/>
      <sz val="10"/>
      <name val="Arial"/>
    </font>
    <font>
      <b/>
      <sz val="10"/>
      <name val="Arial"/>
    </font>
    <font>
      <sz val="10"/>
      <name val="Arial"/>
    </font>
    <font>
      <b/>
      <color rgb="FF1F3864"/>
      <sz val="11"/>
      <name val="Arial"/>
    </font>
    <font>
      <b/>
      <color rgb="FFFFFFFF"/>
      <sz val="10"/>
      <name val="Arial"/>
    </font>
  </fonts>
  <fills count="7">
    <fill>
      <patternFill patternType="none"/>
    </fill>
    <fill>
      <patternFill patternType="gray125"/>
    </fill>
    <fill>
      <patternFill patternType="solid">
        <fgColor rgb="FF2F5496"/>
      </patternFill>
    </fill>
    <fill>
      <patternFill patternType="solid">
        <fgColor rgb="FFF2F2F2"/>
      </patternFill>
    </fill>
    <fill>
      <patternFill patternType="solid">
        <fgColor rgb="FFE2EFDA"/>
      </patternFill>
    </fill>
    <fill>
      <patternFill patternType="solid">
        <fgColor rgb="FFFFF2CC"/>
      </patternFill>
    </fill>
    <fill>
      <patternFill patternType="solid">
        <fgColor rgb="FFFCE4D6"/>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bottom style="thin">
        <color rgb="FFBFBFBF"/>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2" borderId="1" xfId="0" applyFont="1" applyFill="1" applyBorder="1" applyAlignment="1">
      <alignment horizontal="center" vertical="center"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3" fillId="0" borderId="2" xfId="0" applyFont="1" applyBorder="1" applyAlignment="1">
      <alignment vertical="top" wrapText="1"/>
    </xf>
    <xf numFmtId="0" fontId="4" fillId="0" borderId="0" xfId="0" applyFont="1" applyAlignment="1">
      <alignment vertical="top" wrapText="1"/>
    </xf>
    <xf numFmtId="0" fontId="3" fillId="0" borderId="1" xfId="0" applyFont="1" applyBorder="1" applyAlignment="1">
      <alignment vertical="top" wrapText="1"/>
    </xf>
    <xf numFmtId="0" fontId="4" fillId="0" borderId="1" xfId="0" applyFont="1" applyBorder="1" applyAlignment="1">
      <alignment horizontal="center" vertical="top" wrapText="1"/>
    </xf>
    <xf numFmtId="0" fontId="4" fillId="4" borderId="1" xfId="0" applyFont="1" applyFill="1" applyBorder="1" applyAlignment="1">
      <alignment horizontal="center" vertical="top" wrapText="1"/>
    </xf>
    <xf numFmtId="0" fontId="3" fillId="3" borderId="1" xfId="0" applyFont="1" applyFill="1" applyBorder="1" applyAlignment="1">
      <alignment vertical="top" wrapText="1"/>
    </xf>
    <xf numFmtId="0" fontId="4" fillId="3"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4" fillId="0" borderId="1" xfId="0" applyFont="1" applyBorder="1" applyAlignment="1">
      <alignment horizontal="center" vertical="top"/>
    </xf>
    <xf numFmtId="0" fontId="4" fillId="3"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FormatPr defaultRowHeight="15" outlineLevelRow="0" outlineLevelCol="0" x14ac:dyDescent="55"/>
  <cols>
    <col min="1" max="1" width="22" customWidth="1"/>
    <col min="2" max="8" width="13" customWidth="1"/>
  </cols>
  <sheetData>
    <row r="1" ht="24" customHeight="1" spans="1:8" x14ac:dyDescent="0.25">
      <c r="A1" s="1" t="s">
        <v>0</v>
      </c>
      <c r="B1" s="1"/>
      <c r="C1" s="1"/>
      <c r="D1" s="1"/>
      <c r="E1" s="1"/>
      <c r="F1" s="1"/>
      <c r="G1" s="1"/>
      <c r="H1" s="1"/>
    </row>
    <row r="2" spans="1:8" x14ac:dyDescent="0.25">
      <c r="A2" s="2" t="s">
        <v>1</v>
      </c>
      <c r="B2" s="2"/>
      <c r="C2" s="2"/>
      <c r="D2" s="2"/>
      <c r="E2" s="2"/>
      <c r="F2" s="2"/>
      <c r="G2" s="2"/>
      <c r="H2" s="2"/>
    </row>
    <row r="4" spans="1:8" x14ac:dyDescent="0.25">
      <c r="A4" s="3" t="s">
        <v>2</v>
      </c>
      <c r="B4" s="4" t="s">
        <v>3</v>
      </c>
      <c r="C4" s="4"/>
      <c r="D4" s="4"/>
      <c r="E4" s="4"/>
      <c r="F4" s="4"/>
      <c r="G4" s="4"/>
      <c r="H4" s="4"/>
    </row>
    <row r="5" spans="1:8" x14ac:dyDescent="0.25">
      <c r="A5" s="3" t="s">
        <v>4</v>
      </c>
      <c r="B5" s="4" t="s">
        <v>5</v>
      </c>
      <c r="C5" s="4"/>
      <c r="D5" s="4"/>
      <c r="E5" s="4"/>
      <c r="F5" s="4"/>
      <c r="G5" s="4"/>
      <c r="H5" s="4"/>
    </row>
    <row r="6" spans="1:8" x14ac:dyDescent="0.25">
      <c r="A6" s="3" t="s">
        <v>6</v>
      </c>
      <c r="B6" s="4" t="s">
        <v>7</v>
      </c>
      <c r="C6" s="4"/>
      <c r="D6" s="4"/>
      <c r="E6" s="4"/>
      <c r="F6" s="4"/>
      <c r="G6" s="4"/>
      <c r="H6" s="4"/>
    </row>
    <row r="7" spans="1:8" x14ac:dyDescent="0.25">
      <c r="A7" s="3" t="s">
        <v>8</v>
      </c>
      <c r="B7" s="4" t="s">
        <v>9</v>
      </c>
      <c r="C7" s="4"/>
      <c r="D7" s="4"/>
      <c r="E7" s="4"/>
      <c r="F7" s="4"/>
      <c r="G7" s="4"/>
      <c r="H7" s="4"/>
    </row>
    <row r="8" spans="1:8" x14ac:dyDescent="0.25">
      <c r="A8" s="3" t="s">
        <v>10</v>
      </c>
      <c r="B8" s="4" t="s">
        <v>11</v>
      </c>
      <c r="C8" s="4"/>
      <c r="D8" s="4"/>
      <c r="E8" s="4"/>
      <c r="F8" s="4"/>
      <c r="G8" s="4"/>
      <c r="H8" s="4"/>
    </row>
    <row r="10" spans="1:1" x14ac:dyDescent="0.25">
      <c r="A10" s="5" t="s">
        <v>12</v>
      </c>
    </row>
    <row r="11" ht="30" customHeight="1" spans="1:8" x14ac:dyDescent="0.25">
      <c r="A11" s="6" t="s">
        <v>13</v>
      </c>
      <c r="B11" s="6" t="s">
        <v>14</v>
      </c>
      <c r="C11" s="6" t="s">
        <v>15</v>
      </c>
      <c r="D11" s="6" t="s">
        <v>16</v>
      </c>
      <c r="E11" s="6" t="s">
        <v>17</v>
      </c>
      <c r="F11" s="6" t="s">
        <v>18</v>
      </c>
      <c r="G11" s="6" t="s">
        <v>19</v>
      </c>
      <c r="H11" s="6" t="s">
        <v>20</v>
      </c>
    </row>
    <row r="12" spans="1:8" x14ac:dyDescent="0.25">
      <c r="A12" s="7" t="s">
        <v>21</v>
      </c>
      <c r="B12" s="7">
        <f>COUNTIF('Test Cases'!$B$4:$B$68,"SauceDemo")</f>
      </c>
      <c r="C12" s="7">
        <f>COUNTIFS('Test Cases'!$B$4:$B$68,"SauceDemo",'Test Cases'!$N$4:$N$68,"Yes")</f>
      </c>
      <c r="D12" s="7">
        <f>COUNTIFS('Test Cases'!$B$4:$B$68,"SauceDemo",'Test Cases'!$N$4:$N$68,"No")</f>
      </c>
      <c r="E12" s="7">
        <f>COUNTIFS('Test Cases'!$B$4:$B$68,"SauceDemo",'Test Cases'!$K$4:$K$68,"Pass*")</f>
      </c>
      <c r="F12" s="7">
        <f>COUNTIFS('Test Cases'!$B$4:$B$68,"SauceDemo",'Test Cases'!$K$4:$K$68,"Fail*")</f>
      </c>
      <c r="G12" s="7">
        <f>COUNTIFS('Test Cases'!$B$4:$B$68,"SauceDemo",'Test Cases'!$K$4:$K$68,"Not*")</f>
      </c>
      <c r="H12" s="7">
        <f>COUNTIFS('Test Cases'!$B$4:$B$68,"SauceDemo",'Test Cases'!$P$4:$P$68,"Pass*")</f>
      </c>
    </row>
    <row r="13" spans="1:8" x14ac:dyDescent="0.25">
      <c r="A13" s="8" t="s">
        <v>22</v>
      </c>
      <c r="B13" s="8">
        <f>COUNTIF('Test Cases'!$B$4:$B$68,"DemoQA")</f>
      </c>
      <c r="C13" s="8">
        <f>COUNTIFS('Test Cases'!$B$4:$B$68,"DemoQA",'Test Cases'!$N$4:$N$68,"Yes")</f>
      </c>
      <c r="D13" s="8">
        <f>COUNTIFS('Test Cases'!$B$4:$B$68,"DemoQA",'Test Cases'!$N$4:$N$68,"No")</f>
      </c>
      <c r="E13" s="8">
        <f>COUNTIFS('Test Cases'!$B$4:$B$68,"DemoQA",'Test Cases'!$K$4:$K$68,"Pass*")</f>
      </c>
      <c r="F13" s="8">
        <f>COUNTIFS('Test Cases'!$B$4:$B$68,"DemoQA",'Test Cases'!$K$4:$K$68,"Fail*")</f>
      </c>
      <c r="G13" s="8">
        <f>COUNTIFS('Test Cases'!$B$4:$B$68,"DemoQA",'Test Cases'!$K$4:$K$68,"Not*")</f>
      </c>
      <c r="H13" s="8">
        <f>COUNTIFS('Test Cases'!$B$4:$B$68,"DemoQA",'Test Cases'!$P$4:$P$68,"Pass*")</f>
      </c>
    </row>
    <row r="14" spans="1:8" x14ac:dyDescent="0.25">
      <c r="A14" s="9" t="s">
        <v>23</v>
      </c>
      <c r="B14" s="9">
        <f>SUM(B12:B13)</f>
      </c>
      <c r="C14" s="9">
        <f>SUM(C12:C13)</f>
      </c>
      <c r="D14" s="9">
        <f>SUM(D12:D13)</f>
      </c>
      <c r="E14" s="9">
        <f>SUM(E12:E13)</f>
      </c>
      <c r="F14" s="9">
        <f>SUM(F12:F13)</f>
      </c>
      <c r="G14" s="9">
        <f>SUM(G12:G13)</f>
      </c>
      <c r="H14" s="9">
        <f>SUM(H12:H13)</f>
      </c>
    </row>
    <row r="16" spans="1:1" x14ac:dyDescent="0.25">
      <c r="A16" s="5" t="s">
        <v>24</v>
      </c>
    </row>
    <row r="17" ht="30" customHeight="1" spans="1:8" x14ac:dyDescent="0.25">
      <c r="A17" s="6" t="s">
        <v>25</v>
      </c>
      <c r="B17" s="6" t="s">
        <v>13</v>
      </c>
      <c r="C17" s="6" t="s">
        <v>14</v>
      </c>
      <c r="D17" s="6" t="s">
        <v>15</v>
      </c>
      <c r="E17" s="6" t="s">
        <v>17</v>
      </c>
      <c r="F17" s="6" t="s">
        <v>18</v>
      </c>
      <c r="G17" s="6" t="s">
        <v>19</v>
      </c>
      <c r="H17" s="6" t="s">
        <v>20</v>
      </c>
    </row>
    <row r="18" spans="1:8" x14ac:dyDescent="0.25">
      <c r="A18" s="7" t="s">
        <v>26</v>
      </c>
      <c r="B18" s="7" t="s">
        <v>21</v>
      </c>
      <c r="C18" s="7">
        <f>COUNTIF('Test Cases'!$C$4:$C$68,"Login")</f>
      </c>
      <c r="D18" s="7">
        <f>COUNTIFS('Test Cases'!$C$4:$C$68,"Login",'Test Cases'!$N$4:$N$68,"Yes")</f>
      </c>
      <c r="E18" s="7">
        <f>COUNTIFS('Test Cases'!$C$4:$C$68,"Login",'Test Cases'!$K$4:$K$68,"Pass*")</f>
      </c>
      <c r="F18" s="7">
        <f>COUNTIFS('Test Cases'!$C$4:$C$68,"Login",'Test Cases'!$K$4:$K$68,"Fail*")</f>
      </c>
      <c r="G18" s="7">
        <f>COUNTIFS('Test Cases'!$C$4:$C$68,"Login",'Test Cases'!$K$4:$K$68,"Not*")</f>
      </c>
      <c r="H18" s="7">
        <f>COUNTIFS('Test Cases'!$C$4:$C$68,"Login",'Test Cases'!$P$4:$P$68,"Pass*")</f>
      </c>
    </row>
    <row r="19" spans="1:8" x14ac:dyDescent="0.25">
      <c r="A19" s="8" t="s">
        <v>27</v>
      </c>
      <c r="B19" s="8" t="s">
        <v>21</v>
      </c>
      <c r="C19" s="8">
        <f>COUNTIF('Test Cases'!$C$4:$C$68,"Landing Page")</f>
      </c>
      <c r="D19" s="8">
        <f>COUNTIFS('Test Cases'!$C$4:$C$68,"Landing Page",'Test Cases'!$N$4:$N$68,"Yes")</f>
      </c>
      <c r="E19" s="8">
        <f>COUNTIFS('Test Cases'!$C$4:$C$68,"Landing Page",'Test Cases'!$K$4:$K$68,"Pass*")</f>
      </c>
      <c r="F19" s="8">
        <f>COUNTIFS('Test Cases'!$C$4:$C$68,"Landing Page",'Test Cases'!$K$4:$K$68,"Fail*")</f>
      </c>
      <c r="G19" s="8">
        <f>COUNTIFS('Test Cases'!$C$4:$C$68,"Landing Page",'Test Cases'!$K$4:$K$68,"Not*")</f>
      </c>
      <c r="H19" s="8">
        <f>COUNTIFS('Test Cases'!$C$4:$C$68,"Landing Page",'Test Cases'!$P$4:$P$68,"Pass*")</f>
      </c>
    </row>
    <row r="20" spans="1:8" x14ac:dyDescent="0.25">
      <c r="A20" s="7" t="s">
        <v>28</v>
      </c>
      <c r="B20" s="7" t="s">
        <v>21</v>
      </c>
      <c r="C20" s="7">
        <f>COUNTIF('Test Cases'!$C$4:$C$68,"Cart &amp; Checkout")</f>
      </c>
      <c r="D20" s="7">
        <f>COUNTIFS('Test Cases'!$C$4:$C$68,"Cart &amp; Checkout",'Test Cases'!$N$4:$N$68,"Yes")</f>
      </c>
      <c r="E20" s="7">
        <f>COUNTIFS('Test Cases'!$C$4:$C$68,"Cart &amp; Checkout",'Test Cases'!$K$4:$K$68,"Pass*")</f>
      </c>
      <c r="F20" s="7">
        <f>COUNTIFS('Test Cases'!$C$4:$C$68,"Cart &amp; Checkout",'Test Cases'!$K$4:$K$68,"Fail*")</f>
      </c>
      <c r="G20" s="7">
        <f>COUNTIFS('Test Cases'!$C$4:$C$68,"Cart &amp; Checkout",'Test Cases'!$K$4:$K$68,"Not*")</f>
      </c>
      <c r="H20" s="7">
        <f>COUNTIFS('Test Cases'!$C$4:$C$68,"Cart &amp; Checkout",'Test Cases'!$P$4:$P$68,"Pass*")</f>
      </c>
    </row>
    <row r="21" spans="1:8" x14ac:dyDescent="0.25">
      <c r="A21" s="8" t="s">
        <v>29</v>
      </c>
      <c r="B21" s="8" t="s">
        <v>22</v>
      </c>
      <c r="C21" s="8">
        <f>COUNTIF('Test Cases'!$C$4:$C$68,"Practice Form")</f>
      </c>
      <c r="D21" s="8">
        <f>COUNTIFS('Test Cases'!$C$4:$C$68,"Practice Form",'Test Cases'!$N$4:$N$68,"Yes")</f>
      </c>
      <c r="E21" s="8">
        <f>COUNTIFS('Test Cases'!$C$4:$C$68,"Practice Form",'Test Cases'!$K$4:$K$68,"Pass*")</f>
      </c>
      <c r="F21" s="8">
        <f>COUNTIFS('Test Cases'!$C$4:$C$68,"Practice Form",'Test Cases'!$K$4:$K$68,"Fail*")</f>
      </c>
      <c r="G21" s="8">
        <f>COUNTIFS('Test Cases'!$C$4:$C$68,"Practice Form",'Test Cases'!$K$4:$K$68,"Not*")</f>
      </c>
      <c r="H21" s="8">
        <f>COUNTIFS('Test Cases'!$C$4:$C$68,"Practice Form",'Test Cases'!$P$4:$P$68,"Pass*")</f>
      </c>
    </row>
    <row r="22" spans="1:8" x14ac:dyDescent="0.25">
      <c r="A22" s="7" t="s">
        <v>30</v>
      </c>
      <c r="B22" s="7" t="s">
        <v>22</v>
      </c>
      <c r="C22" s="7">
        <f>COUNTIF('Test Cases'!$C$4:$C$68,"Select Menu")</f>
      </c>
      <c r="D22" s="7">
        <f>COUNTIFS('Test Cases'!$C$4:$C$68,"Select Menu",'Test Cases'!$N$4:$N$68,"Yes")</f>
      </c>
      <c r="E22" s="7">
        <f>COUNTIFS('Test Cases'!$C$4:$C$68,"Select Menu",'Test Cases'!$K$4:$K$68,"Pass*")</f>
      </c>
      <c r="F22" s="7">
        <f>COUNTIFS('Test Cases'!$C$4:$C$68,"Select Menu",'Test Cases'!$K$4:$K$68,"Fail*")</f>
      </c>
      <c r="G22" s="7">
        <f>COUNTIFS('Test Cases'!$C$4:$C$68,"Select Menu",'Test Cases'!$K$4:$K$68,"Not*")</f>
      </c>
      <c r="H22" s="7">
        <f>COUNTIFS('Test Cases'!$C$4:$C$68,"Select Menu",'Test Cases'!$P$4:$P$68,"Pass*")</f>
      </c>
    </row>
    <row r="23" spans="1:8" x14ac:dyDescent="0.25">
      <c r="A23" s="8" t="s">
        <v>31</v>
      </c>
      <c r="B23" s="8" t="s">
        <v>22</v>
      </c>
      <c r="C23" s="8">
        <f>COUNTIF('Test Cases'!$C$4:$C$68,"Upload and Download")</f>
      </c>
      <c r="D23" s="8">
        <f>COUNTIFS('Test Cases'!$C$4:$C$68,"Upload and Download",'Test Cases'!$N$4:$N$68,"Yes")</f>
      </c>
      <c r="E23" s="8">
        <f>COUNTIFS('Test Cases'!$C$4:$C$68,"Upload and Download",'Test Cases'!$K$4:$K$68,"Pass*")</f>
      </c>
      <c r="F23" s="8">
        <f>COUNTIFS('Test Cases'!$C$4:$C$68,"Upload and Download",'Test Cases'!$K$4:$K$68,"Fail*")</f>
      </c>
      <c r="G23" s="8">
        <f>COUNTIFS('Test Cases'!$C$4:$C$68,"Upload and Download",'Test Cases'!$K$4:$K$68,"Not*")</f>
      </c>
      <c r="H23" s="8">
        <f>COUNTIFS('Test Cases'!$C$4:$C$68,"Upload and Download",'Test Cases'!$P$4:$P$68,"Pass*")</f>
      </c>
    </row>
    <row r="24" spans="1:8" x14ac:dyDescent="0.25">
      <c r="A24" s="7" t="s">
        <v>32</v>
      </c>
      <c r="B24" s="7" t="s">
        <v>22</v>
      </c>
      <c r="C24" s="7">
        <f>COUNTIF('Test Cases'!$C$4:$C$68,"Buttons")</f>
      </c>
      <c r="D24" s="7">
        <f>COUNTIFS('Test Cases'!$C$4:$C$68,"Buttons",'Test Cases'!$N$4:$N$68,"Yes")</f>
      </c>
      <c r="E24" s="7">
        <f>COUNTIFS('Test Cases'!$C$4:$C$68,"Buttons",'Test Cases'!$K$4:$K$68,"Pass*")</f>
      </c>
      <c r="F24" s="7">
        <f>COUNTIFS('Test Cases'!$C$4:$C$68,"Buttons",'Test Cases'!$K$4:$K$68,"Fail*")</f>
      </c>
      <c r="G24" s="7">
        <f>COUNTIFS('Test Cases'!$C$4:$C$68,"Buttons",'Test Cases'!$K$4:$K$68,"Not*")</f>
      </c>
      <c r="H24" s="7">
        <f>COUNTIFS('Test Cases'!$C$4:$C$68,"Buttons",'Test Cases'!$P$4:$P$68,"Pass*")</f>
      </c>
    </row>
    <row r="25" spans="1:8" x14ac:dyDescent="0.25">
      <c r="A25" s="8" t="s">
        <v>33</v>
      </c>
      <c r="B25" s="8" t="s">
        <v>22</v>
      </c>
      <c r="C25" s="8">
        <f>COUNTIF('Test Cases'!$C$4:$C$68,"Check Box")</f>
      </c>
      <c r="D25" s="8">
        <f>COUNTIFS('Test Cases'!$C$4:$C$68,"Check Box",'Test Cases'!$N$4:$N$68,"Yes")</f>
      </c>
      <c r="E25" s="8">
        <f>COUNTIFS('Test Cases'!$C$4:$C$68,"Check Box",'Test Cases'!$K$4:$K$68,"Pass*")</f>
      </c>
      <c r="F25" s="8">
        <f>COUNTIFS('Test Cases'!$C$4:$C$68,"Check Box",'Test Cases'!$K$4:$K$68,"Fail*")</f>
      </c>
      <c r="G25" s="8">
        <f>COUNTIFS('Test Cases'!$C$4:$C$68,"Check Box",'Test Cases'!$K$4:$K$68,"Not*")</f>
      </c>
      <c r="H25" s="8">
        <f>COUNTIFS('Test Cases'!$C$4:$C$68,"Check Box",'Test Cases'!$P$4:$P$68,"Pass*")</f>
      </c>
    </row>
    <row r="27" spans="1:1" x14ac:dyDescent="0.25">
      <c r="A27" s="5" t="s">
        <v>34</v>
      </c>
    </row>
    <row r="28" ht="28" customHeight="1" spans="1:8" x14ac:dyDescent="0.25">
      <c r="A28" s="3" t="s">
        <v>35</v>
      </c>
      <c r="B28" s="10" t="s">
        <v>36</v>
      </c>
      <c r="C28" s="10"/>
      <c r="D28" s="10"/>
      <c r="E28" s="10"/>
      <c r="F28" s="10"/>
      <c r="G28" s="10"/>
      <c r="H28" s="10"/>
    </row>
    <row r="29" ht="28" customHeight="1" spans="1:8" x14ac:dyDescent="0.25">
      <c r="A29" s="3" t="s">
        <v>37</v>
      </c>
      <c r="B29" s="10" t="s">
        <v>38</v>
      </c>
      <c r="C29" s="10"/>
      <c r="D29" s="10"/>
      <c r="E29" s="10"/>
      <c r="F29" s="10"/>
      <c r="G29" s="10"/>
      <c r="H29" s="10"/>
    </row>
    <row r="30" ht="28" customHeight="1" spans="1:8" x14ac:dyDescent="0.25">
      <c r="A30" s="3" t="s">
        <v>39</v>
      </c>
      <c r="B30" s="10" t="s">
        <v>40</v>
      </c>
      <c r="C30" s="10"/>
      <c r="D30" s="10"/>
      <c r="E30" s="10"/>
      <c r="F30" s="10"/>
      <c r="G30" s="10"/>
      <c r="H30" s="10"/>
    </row>
  </sheetData>
  <mergeCells count="10">
    <mergeCell ref="A1:H1"/>
    <mergeCell ref="A2:H2"/>
    <mergeCell ref="B4:H4"/>
    <mergeCell ref="B5:H5"/>
    <mergeCell ref="B6:H6"/>
    <mergeCell ref="B7:H7"/>
    <mergeCell ref="B8:H8"/>
    <mergeCell ref="B28:H28"/>
    <mergeCell ref="B29:H29"/>
    <mergeCell ref="B30:H30"/>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8"/>
  <sheetViews>
    <sheetView workbookViewId="0" zoomScale="100" zoomScaleNormal="100">
      <pane xSplit="1" ySplit="3" topLeftCell="B4" activePane="bottomRight" state="frozen"/>
      <selection pane="bottomRight"/>
    </sheetView>
  </sheetViews>
  <sheetFormatPr defaultRowHeight="15" outlineLevelRow="0" outlineLevelCol="0" x14ac:dyDescent="55"/>
  <cols>
    <col min="1" max="1" width="11" customWidth="1"/>
    <col min="2" max="2" width="12" customWidth="1"/>
    <col min="3" max="3" width="16" customWidth="1"/>
    <col min="4" max="4" width="24" customWidth="1"/>
    <col min="5" max="5" width="30" customWidth="1"/>
    <col min="6" max="6" width="32" customWidth="1"/>
    <col min="7" max="7" width="48" customWidth="1"/>
    <col min="8" max="8" width="28" customWidth="1"/>
    <col min="9" max="10" width="40" customWidth="1"/>
    <col min="11" max="11" width="15" customWidth="1"/>
    <col min="12" max="12" width="10" customWidth="1"/>
    <col min="14" max="14" width="11" customWidth="1"/>
    <col min="15" max="15" width="38" customWidth="1"/>
    <col min="16" max="16" width="16" customWidth="1"/>
    <col min="17" max="17" width="40" customWidth="1"/>
  </cols>
  <sheetData>
    <row r="1" ht="24" customHeight="1" spans="1:17" x14ac:dyDescent="0.25">
      <c r="A1" s="1" t="s">
        <v>41</v>
      </c>
      <c r="B1" s="1"/>
      <c r="C1" s="1"/>
      <c r="D1" s="1"/>
      <c r="E1" s="1"/>
      <c r="F1" s="1"/>
      <c r="G1" s="1"/>
      <c r="H1" s="1"/>
      <c r="I1" s="1"/>
      <c r="J1" s="1"/>
      <c r="K1" s="1"/>
      <c r="L1" s="1"/>
      <c r="M1" s="1"/>
      <c r="N1" s="1"/>
      <c r="O1" s="1"/>
      <c r="P1" s="1"/>
      <c r="Q1" s="1"/>
    </row>
    <row r="2" spans="1:17" x14ac:dyDescent="0.25">
      <c r="A2" s="2" t="s">
        <v>42</v>
      </c>
      <c r="B2" s="2"/>
      <c r="C2" s="2"/>
      <c r="D2" s="2"/>
      <c r="E2" s="2"/>
      <c r="F2" s="2"/>
      <c r="G2" s="2"/>
      <c r="H2" s="2"/>
      <c r="I2" s="2"/>
      <c r="J2" s="2"/>
      <c r="K2" s="2"/>
      <c r="L2" s="2"/>
      <c r="M2" s="2"/>
      <c r="N2" s="2"/>
      <c r="O2" s="2"/>
      <c r="P2" s="2"/>
      <c r="Q2" s="2"/>
    </row>
    <row r="3" ht="30" customHeight="1" spans="1:17" x14ac:dyDescent="0.25">
      <c r="A3" s="6" t="s">
        <v>43</v>
      </c>
      <c r="B3" s="6" t="s">
        <v>13</v>
      </c>
      <c r="C3" s="6" t="s">
        <v>25</v>
      </c>
      <c r="D3" s="6" t="s">
        <v>44</v>
      </c>
      <c r="E3" s="6" t="s">
        <v>45</v>
      </c>
      <c r="F3" s="6" t="s">
        <v>46</v>
      </c>
      <c r="G3" s="6" t="s">
        <v>47</v>
      </c>
      <c r="H3" s="6" t="s">
        <v>48</v>
      </c>
      <c r="I3" s="6" t="s">
        <v>49</v>
      </c>
      <c r="J3" s="6" t="s">
        <v>50</v>
      </c>
      <c r="K3" s="6" t="s">
        <v>35</v>
      </c>
      <c r="L3" s="6" t="s">
        <v>51</v>
      </c>
      <c r="M3" s="6" t="s">
        <v>52</v>
      </c>
      <c r="N3" s="6" t="s">
        <v>15</v>
      </c>
      <c r="O3" s="6" t="s">
        <v>53</v>
      </c>
      <c r="P3" s="6" t="s">
        <v>37</v>
      </c>
      <c r="Q3" s="6" t="s">
        <v>54</v>
      </c>
    </row>
    <row r="4" spans="1:17" x14ac:dyDescent="0.25">
      <c r="A4" s="11" t="s">
        <v>55</v>
      </c>
      <c r="B4" s="12" t="s">
        <v>21</v>
      </c>
      <c r="C4" s="7" t="s">
        <v>26</v>
      </c>
      <c r="D4" s="7" t="s">
        <v>56</v>
      </c>
      <c r="E4" s="7" t="s">
        <v>57</v>
      </c>
      <c r="F4" s="7" t="s">
        <v>58</v>
      </c>
      <c r="G4" s="7" t="s">
        <v>59</v>
      </c>
      <c r="H4" s="7" t="s">
        <v>60</v>
      </c>
      <c r="I4" s="7" t="s">
        <v>61</v>
      </c>
      <c r="J4" s="7" t="s">
        <v>62</v>
      </c>
      <c r="K4" s="13" t="s">
        <v>63</v>
      </c>
      <c r="L4" s="12" t="s">
        <v>64</v>
      </c>
      <c r="M4" s="12" t="s">
        <v>65</v>
      </c>
      <c r="N4" s="12" t="s">
        <v>66</v>
      </c>
      <c r="O4" s="7" t="s">
        <v>67</v>
      </c>
      <c r="P4" s="13" t="s">
        <v>63</v>
      </c>
      <c r="Q4" s="7" t="s">
        <v>68</v>
      </c>
    </row>
    <row r="5" spans="1:17" x14ac:dyDescent="0.25">
      <c r="A5" s="14" t="s">
        <v>69</v>
      </c>
      <c r="B5" s="15" t="s">
        <v>21</v>
      </c>
      <c r="C5" s="8" t="s">
        <v>26</v>
      </c>
      <c r="D5" s="8" t="s">
        <v>56</v>
      </c>
      <c r="E5" s="8" t="s">
        <v>70</v>
      </c>
      <c r="F5" s="8" t="s">
        <v>71</v>
      </c>
      <c r="G5" s="8" t="s">
        <v>72</v>
      </c>
      <c r="H5" s="8" t="s">
        <v>73</v>
      </c>
      <c r="I5" s="8" t="s">
        <v>74</v>
      </c>
      <c r="J5" s="8" t="s">
        <v>75</v>
      </c>
      <c r="K5" s="13" t="s">
        <v>63</v>
      </c>
      <c r="L5" s="15" t="s">
        <v>76</v>
      </c>
      <c r="M5" s="15" t="s">
        <v>77</v>
      </c>
      <c r="N5" s="15" t="s">
        <v>66</v>
      </c>
      <c r="O5" s="8" t="s">
        <v>78</v>
      </c>
      <c r="P5" s="13" t="s">
        <v>63</v>
      </c>
      <c r="Q5" s="8" t="s">
        <v>68</v>
      </c>
    </row>
    <row r="6" spans="1:17" x14ac:dyDescent="0.25">
      <c r="A6" s="11" t="s">
        <v>79</v>
      </c>
      <c r="B6" s="12" t="s">
        <v>21</v>
      </c>
      <c r="C6" s="7" t="s">
        <v>26</v>
      </c>
      <c r="D6" s="7" t="s">
        <v>56</v>
      </c>
      <c r="E6" s="7" t="s">
        <v>80</v>
      </c>
      <c r="F6" s="7" t="s">
        <v>81</v>
      </c>
      <c r="G6" s="7" t="s">
        <v>82</v>
      </c>
      <c r="H6" s="7" t="s">
        <v>83</v>
      </c>
      <c r="I6" s="7" t="s">
        <v>84</v>
      </c>
      <c r="J6" s="7" t="s">
        <v>85</v>
      </c>
      <c r="K6" s="13" t="s">
        <v>63</v>
      </c>
      <c r="L6" s="12" t="s">
        <v>76</v>
      </c>
      <c r="M6" s="12" t="s">
        <v>77</v>
      </c>
      <c r="N6" s="12" t="s">
        <v>66</v>
      </c>
      <c r="O6" s="7" t="s">
        <v>86</v>
      </c>
      <c r="P6" s="13" t="s">
        <v>63</v>
      </c>
      <c r="Q6" s="7" t="s">
        <v>68</v>
      </c>
    </row>
    <row r="7" spans="1:17" x14ac:dyDescent="0.25">
      <c r="A7" s="14" t="s">
        <v>87</v>
      </c>
      <c r="B7" s="15" t="s">
        <v>21</v>
      </c>
      <c r="C7" s="8" t="s">
        <v>26</v>
      </c>
      <c r="D7" s="8" t="s">
        <v>56</v>
      </c>
      <c r="E7" s="8" t="s">
        <v>80</v>
      </c>
      <c r="F7" s="8" t="s">
        <v>88</v>
      </c>
      <c r="G7" s="8" t="s">
        <v>89</v>
      </c>
      <c r="H7" s="8" t="s">
        <v>90</v>
      </c>
      <c r="I7" s="8" t="s">
        <v>91</v>
      </c>
      <c r="J7" s="8" t="s">
        <v>75</v>
      </c>
      <c r="K7" s="13" t="s">
        <v>63</v>
      </c>
      <c r="L7" s="15" t="s">
        <v>76</v>
      </c>
      <c r="M7" s="15" t="s">
        <v>77</v>
      </c>
      <c r="N7" s="15" t="s">
        <v>66</v>
      </c>
      <c r="O7" s="8" t="s">
        <v>92</v>
      </c>
      <c r="P7" s="13" t="s">
        <v>63</v>
      </c>
      <c r="Q7" s="8" t="s">
        <v>93</v>
      </c>
    </row>
    <row r="8" spans="1:17" x14ac:dyDescent="0.25">
      <c r="A8" s="11" t="s">
        <v>94</v>
      </c>
      <c r="B8" s="12" t="s">
        <v>21</v>
      </c>
      <c r="C8" s="7" t="s">
        <v>26</v>
      </c>
      <c r="D8" s="7" t="s">
        <v>56</v>
      </c>
      <c r="E8" s="7" t="s">
        <v>80</v>
      </c>
      <c r="F8" s="7" t="s">
        <v>95</v>
      </c>
      <c r="G8" s="7" t="s">
        <v>96</v>
      </c>
      <c r="H8" s="7" t="s">
        <v>97</v>
      </c>
      <c r="I8" s="7" t="s">
        <v>98</v>
      </c>
      <c r="J8" s="7" t="s">
        <v>99</v>
      </c>
      <c r="K8" s="13" t="s">
        <v>63</v>
      </c>
      <c r="L8" s="12" t="s">
        <v>100</v>
      </c>
      <c r="M8" s="12" t="s">
        <v>65</v>
      </c>
      <c r="N8" s="12" t="s">
        <v>66</v>
      </c>
      <c r="O8" s="7" t="s">
        <v>101</v>
      </c>
      <c r="P8" s="13" t="s">
        <v>63</v>
      </c>
      <c r="Q8" s="7" t="s">
        <v>68</v>
      </c>
    </row>
    <row r="9" spans="1:17" x14ac:dyDescent="0.25">
      <c r="A9" s="14" t="s">
        <v>102</v>
      </c>
      <c r="B9" s="15" t="s">
        <v>21</v>
      </c>
      <c r="C9" s="8" t="s">
        <v>26</v>
      </c>
      <c r="D9" s="8" t="s">
        <v>56</v>
      </c>
      <c r="E9" s="8" t="s">
        <v>80</v>
      </c>
      <c r="F9" s="8" t="s">
        <v>103</v>
      </c>
      <c r="G9" s="8" t="s">
        <v>104</v>
      </c>
      <c r="H9" s="8" t="s">
        <v>105</v>
      </c>
      <c r="I9" s="8" t="s">
        <v>106</v>
      </c>
      <c r="J9" s="8" t="s">
        <v>107</v>
      </c>
      <c r="K9" s="13" t="s">
        <v>63</v>
      </c>
      <c r="L9" s="15" t="s">
        <v>100</v>
      </c>
      <c r="M9" s="15" t="s">
        <v>65</v>
      </c>
      <c r="N9" s="15" t="s">
        <v>66</v>
      </c>
      <c r="O9" s="8" t="s">
        <v>108</v>
      </c>
      <c r="P9" s="13" t="s">
        <v>63</v>
      </c>
      <c r="Q9" s="8" t="s">
        <v>68</v>
      </c>
    </row>
    <row r="10" spans="1:17" x14ac:dyDescent="0.25">
      <c r="A10" s="11" t="s">
        <v>109</v>
      </c>
      <c r="B10" s="12" t="s">
        <v>21</v>
      </c>
      <c r="C10" s="7" t="s">
        <v>26</v>
      </c>
      <c r="D10" s="7" t="s">
        <v>56</v>
      </c>
      <c r="E10" s="7" t="s">
        <v>80</v>
      </c>
      <c r="F10" s="7" t="s">
        <v>110</v>
      </c>
      <c r="G10" s="7" t="s">
        <v>111</v>
      </c>
      <c r="H10" s="7" t="s">
        <v>112</v>
      </c>
      <c r="I10" s="7" t="s">
        <v>113</v>
      </c>
      <c r="J10" s="7" t="s">
        <v>114</v>
      </c>
      <c r="K10" s="13" t="s">
        <v>63</v>
      </c>
      <c r="L10" s="12" t="s">
        <v>76</v>
      </c>
      <c r="M10" s="12" t="s">
        <v>115</v>
      </c>
      <c r="N10" s="12" t="s">
        <v>66</v>
      </c>
      <c r="O10" s="7" t="s">
        <v>116</v>
      </c>
      <c r="P10" s="13" t="s">
        <v>63</v>
      </c>
      <c r="Q10" s="7" t="s">
        <v>68</v>
      </c>
    </row>
    <row r="11" spans="1:17" x14ac:dyDescent="0.25">
      <c r="A11" s="14" t="s">
        <v>117</v>
      </c>
      <c r="B11" s="15" t="s">
        <v>21</v>
      </c>
      <c r="C11" s="8" t="s">
        <v>26</v>
      </c>
      <c r="D11" s="8" t="s">
        <v>56</v>
      </c>
      <c r="E11" s="8" t="s">
        <v>80</v>
      </c>
      <c r="F11" s="8" t="s">
        <v>118</v>
      </c>
      <c r="G11" s="8" t="s">
        <v>119</v>
      </c>
      <c r="H11" s="8" t="s">
        <v>120</v>
      </c>
      <c r="I11" s="8" t="s">
        <v>121</v>
      </c>
      <c r="J11" s="8" t="s">
        <v>122</v>
      </c>
      <c r="K11" s="13" t="s">
        <v>123</v>
      </c>
      <c r="L11" s="15" t="s">
        <v>124</v>
      </c>
      <c r="M11" s="15" t="s">
        <v>115</v>
      </c>
      <c r="N11" s="15" t="s">
        <v>66</v>
      </c>
      <c r="O11" s="8" t="s">
        <v>125</v>
      </c>
      <c r="P11" s="13" t="s">
        <v>63</v>
      </c>
      <c r="Q11" s="8" t="s">
        <v>126</v>
      </c>
    </row>
    <row r="12" spans="1:17" x14ac:dyDescent="0.25">
      <c r="A12" s="11" t="s">
        <v>127</v>
      </c>
      <c r="B12" s="12" t="s">
        <v>21</v>
      </c>
      <c r="C12" s="7" t="s">
        <v>26</v>
      </c>
      <c r="D12" s="7" t="s">
        <v>56</v>
      </c>
      <c r="E12" s="7" t="s">
        <v>80</v>
      </c>
      <c r="F12" s="7" t="s">
        <v>128</v>
      </c>
      <c r="G12" s="7" t="s">
        <v>129</v>
      </c>
      <c r="H12" s="7" t="s">
        <v>130</v>
      </c>
      <c r="I12" s="7" t="s">
        <v>131</v>
      </c>
      <c r="J12" s="7" t="s">
        <v>132</v>
      </c>
      <c r="K12" s="13" t="s">
        <v>63</v>
      </c>
      <c r="L12" s="12" t="s">
        <v>64</v>
      </c>
      <c r="M12" s="12" t="s">
        <v>65</v>
      </c>
      <c r="N12" s="12" t="s">
        <v>66</v>
      </c>
      <c r="O12" s="7" t="s">
        <v>133</v>
      </c>
      <c r="P12" s="13" t="s">
        <v>63</v>
      </c>
      <c r="Q12" s="7" t="s">
        <v>134</v>
      </c>
    </row>
    <row r="13" spans="1:17" x14ac:dyDescent="0.25">
      <c r="A13" s="14" t="s">
        <v>135</v>
      </c>
      <c r="B13" s="15" t="s">
        <v>21</v>
      </c>
      <c r="C13" s="8" t="s">
        <v>26</v>
      </c>
      <c r="D13" s="8" t="s">
        <v>136</v>
      </c>
      <c r="E13" s="8" t="s">
        <v>80</v>
      </c>
      <c r="F13" s="8" t="s">
        <v>137</v>
      </c>
      <c r="G13" s="8" t="s">
        <v>138</v>
      </c>
      <c r="H13" s="8" t="s">
        <v>139</v>
      </c>
      <c r="I13" s="8" t="s">
        <v>140</v>
      </c>
      <c r="J13" s="8" t="s">
        <v>141</v>
      </c>
      <c r="K13" s="13" t="s">
        <v>63</v>
      </c>
      <c r="L13" s="15" t="s">
        <v>76</v>
      </c>
      <c r="M13" s="15" t="s">
        <v>77</v>
      </c>
      <c r="N13" s="15" t="s">
        <v>66</v>
      </c>
      <c r="O13" s="8" t="s">
        <v>142</v>
      </c>
      <c r="P13" s="13" t="s">
        <v>63</v>
      </c>
      <c r="Q13" s="8" t="s">
        <v>68</v>
      </c>
    </row>
    <row r="14" spans="1:17" x14ac:dyDescent="0.25">
      <c r="A14" s="11" t="s">
        <v>143</v>
      </c>
      <c r="B14" s="12" t="s">
        <v>21</v>
      </c>
      <c r="C14" s="7" t="s">
        <v>26</v>
      </c>
      <c r="D14" s="7" t="s">
        <v>56</v>
      </c>
      <c r="E14" s="7" t="s">
        <v>80</v>
      </c>
      <c r="F14" s="7" t="s">
        <v>144</v>
      </c>
      <c r="G14" s="7" t="s">
        <v>145</v>
      </c>
      <c r="H14" s="7" t="s">
        <v>146</v>
      </c>
      <c r="I14" s="7" t="s">
        <v>147</v>
      </c>
      <c r="J14" s="7" t="s">
        <v>148</v>
      </c>
      <c r="K14" s="13" t="s">
        <v>63</v>
      </c>
      <c r="L14" s="12" t="s">
        <v>100</v>
      </c>
      <c r="M14" s="12" t="s">
        <v>77</v>
      </c>
      <c r="N14" s="12" t="s">
        <v>66</v>
      </c>
      <c r="O14" s="7" t="s">
        <v>149</v>
      </c>
      <c r="P14" s="13" t="s">
        <v>63</v>
      </c>
      <c r="Q14" s="7" t="s">
        <v>150</v>
      </c>
    </row>
    <row r="15" spans="1:17" x14ac:dyDescent="0.25">
      <c r="A15" s="14" t="s">
        <v>151</v>
      </c>
      <c r="B15" s="15" t="s">
        <v>21</v>
      </c>
      <c r="C15" s="8" t="s">
        <v>26</v>
      </c>
      <c r="D15" s="8" t="s">
        <v>152</v>
      </c>
      <c r="E15" s="8" t="s">
        <v>153</v>
      </c>
      <c r="F15" s="8" t="s">
        <v>154</v>
      </c>
      <c r="G15" s="8" t="s">
        <v>155</v>
      </c>
      <c r="H15" s="8" t="s">
        <v>156</v>
      </c>
      <c r="I15" s="8" t="s">
        <v>157</v>
      </c>
      <c r="J15" s="8" t="s">
        <v>158</v>
      </c>
      <c r="K15" s="16" t="s">
        <v>159</v>
      </c>
      <c r="L15" s="15" t="s">
        <v>124</v>
      </c>
      <c r="M15" s="15" t="s">
        <v>115</v>
      </c>
      <c r="N15" s="15" t="s">
        <v>66</v>
      </c>
      <c r="O15" s="8" t="s">
        <v>160</v>
      </c>
      <c r="P15" s="13" t="s">
        <v>63</v>
      </c>
      <c r="Q15" s="8" t="s">
        <v>161</v>
      </c>
    </row>
    <row r="16" spans="1:17" x14ac:dyDescent="0.25">
      <c r="A16" s="11" t="s">
        <v>162</v>
      </c>
      <c r="B16" s="12" t="s">
        <v>21</v>
      </c>
      <c r="C16" s="7" t="s">
        <v>26</v>
      </c>
      <c r="D16" s="7" t="s">
        <v>163</v>
      </c>
      <c r="E16" s="7" t="s">
        <v>70</v>
      </c>
      <c r="F16" s="7" t="s">
        <v>164</v>
      </c>
      <c r="G16" s="7" t="s">
        <v>165</v>
      </c>
      <c r="H16" s="7" t="s">
        <v>166</v>
      </c>
      <c r="I16" s="7" t="s">
        <v>167</v>
      </c>
      <c r="J16" s="7" t="s">
        <v>168</v>
      </c>
      <c r="K16" s="13" t="s">
        <v>63</v>
      </c>
      <c r="L16" s="12" t="s">
        <v>124</v>
      </c>
      <c r="M16" s="12" t="s">
        <v>115</v>
      </c>
      <c r="N16" s="12" t="s">
        <v>66</v>
      </c>
      <c r="O16" s="7" t="s">
        <v>169</v>
      </c>
      <c r="P16" s="13" t="s">
        <v>63</v>
      </c>
      <c r="Q16" s="7" t="s">
        <v>68</v>
      </c>
    </row>
    <row r="17" spans="1:17" x14ac:dyDescent="0.25">
      <c r="A17" s="14" t="s">
        <v>170</v>
      </c>
      <c r="B17" s="15" t="s">
        <v>21</v>
      </c>
      <c r="C17" s="8" t="s">
        <v>27</v>
      </c>
      <c r="D17" s="8" t="s">
        <v>171</v>
      </c>
      <c r="E17" s="8" t="s">
        <v>172</v>
      </c>
      <c r="F17" s="8" t="s">
        <v>173</v>
      </c>
      <c r="G17" s="8" t="s">
        <v>174</v>
      </c>
      <c r="H17" s="8" t="s">
        <v>60</v>
      </c>
      <c r="I17" s="8" t="s">
        <v>175</v>
      </c>
      <c r="J17" s="8" t="s">
        <v>176</v>
      </c>
      <c r="K17" s="13" t="s">
        <v>63</v>
      </c>
      <c r="L17" s="15" t="s">
        <v>64</v>
      </c>
      <c r="M17" s="15" t="s">
        <v>65</v>
      </c>
      <c r="N17" s="15" t="s">
        <v>66</v>
      </c>
      <c r="O17" s="8" t="s">
        <v>177</v>
      </c>
      <c r="P17" s="13" t="s">
        <v>63</v>
      </c>
      <c r="Q17" s="8" t="s">
        <v>68</v>
      </c>
    </row>
    <row r="18" spans="1:17" x14ac:dyDescent="0.25">
      <c r="A18" s="11" t="s">
        <v>178</v>
      </c>
      <c r="B18" s="12" t="s">
        <v>21</v>
      </c>
      <c r="C18" s="7" t="s">
        <v>27</v>
      </c>
      <c r="D18" s="7" t="s">
        <v>179</v>
      </c>
      <c r="E18" s="7" t="s">
        <v>180</v>
      </c>
      <c r="F18" s="7" t="s">
        <v>181</v>
      </c>
      <c r="G18" s="7" t="s">
        <v>182</v>
      </c>
      <c r="H18" s="7" t="s">
        <v>183</v>
      </c>
      <c r="I18" s="7" t="s">
        <v>184</v>
      </c>
      <c r="J18" s="7" t="s">
        <v>185</v>
      </c>
      <c r="K18" s="13" t="s">
        <v>63</v>
      </c>
      <c r="L18" s="12" t="s">
        <v>76</v>
      </c>
      <c r="M18" s="12" t="s">
        <v>77</v>
      </c>
      <c r="N18" s="12" t="s">
        <v>66</v>
      </c>
      <c r="O18" s="7" t="s">
        <v>186</v>
      </c>
      <c r="P18" s="13" t="s">
        <v>63</v>
      </c>
      <c r="Q18" s="7" t="s">
        <v>68</v>
      </c>
    </row>
    <row r="19" spans="1:17" x14ac:dyDescent="0.25">
      <c r="A19" s="14" t="s">
        <v>187</v>
      </c>
      <c r="B19" s="15" t="s">
        <v>21</v>
      </c>
      <c r="C19" s="8" t="s">
        <v>27</v>
      </c>
      <c r="D19" s="8" t="s">
        <v>179</v>
      </c>
      <c r="E19" s="8" t="s">
        <v>188</v>
      </c>
      <c r="F19" s="8" t="s">
        <v>189</v>
      </c>
      <c r="G19" s="8" t="s">
        <v>190</v>
      </c>
      <c r="H19" s="8" t="s">
        <v>183</v>
      </c>
      <c r="I19" s="8" t="s">
        <v>191</v>
      </c>
      <c r="J19" s="8" t="s">
        <v>192</v>
      </c>
      <c r="K19" s="13" t="s">
        <v>63</v>
      </c>
      <c r="L19" s="15" t="s">
        <v>76</v>
      </c>
      <c r="M19" s="15" t="s">
        <v>77</v>
      </c>
      <c r="N19" s="15" t="s">
        <v>66</v>
      </c>
      <c r="O19" s="8" t="s">
        <v>193</v>
      </c>
      <c r="P19" s="13" t="s">
        <v>63</v>
      </c>
      <c r="Q19" s="8" t="s">
        <v>68</v>
      </c>
    </row>
    <row r="20" spans="1:17" x14ac:dyDescent="0.25">
      <c r="A20" s="11" t="s">
        <v>194</v>
      </c>
      <c r="B20" s="12" t="s">
        <v>21</v>
      </c>
      <c r="C20" s="7" t="s">
        <v>27</v>
      </c>
      <c r="D20" s="7" t="s">
        <v>179</v>
      </c>
      <c r="E20" s="7" t="s">
        <v>188</v>
      </c>
      <c r="F20" s="7" t="s">
        <v>195</v>
      </c>
      <c r="G20" s="7" t="s">
        <v>196</v>
      </c>
      <c r="H20" s="7" t="s">
        <v>183</v>
      </c>
      <c r="I20" s="7" t="s">
        <v>197</v>
      </c>
      <c r="J20" s="7" t="s">
        <v>198</v>
      </c>
      <c r="K20" s="13" t="s">
        <v>63</v>
      </c>
      <c r="L20" s="12" t="s">
        <v>76</v>
      </c>
      <c r="M20" s="12" t="s">
        <v>77</v>
      </c>
      <c r="N20" s="12" t="s">
        <v>66</v>
      </c>
      <c r="O20" s="7" t="s">
        <v>199</v>
      </c>
      <c r="P20" s="13" t="s">
        <v>63</v>
      </c>
      <c r="Q20" s="7" t="s">
        <v>68</v>
      </c>
    </row>
    <row r="21" spans="1:17" x14ac:dyDescent="0.25">
      <c r="A21" s="14" t="s">
        <v>200</v>
      </c>
      <c r="B21" s="15" t="s">
        <v>21</v>
      </c>
      <c r="C21" s="8" t="s">
        <v>27</v>
      </c>
      <c r="D21" s="8" t="s">
        <v>179</v>
      </c>
      <c r="E21" s="8" t="s">
        <v>188</v>
      </c>
      <c r="F21" s="8" t="s">
        <v>201</v>
      </c>
      <c r="G21" s="8" t="s">
        <v>202</v>
      </c>
      <c r="H21" s="8" t="s">
        <v>183</v>
      </c>
      <c r="I21" s="8" t="s">
        <v>203</v>
      </c>
      <c r="J21" s="8" t="s">
        <v>204</v>
      </c>
      <c r="K21" s="13" t="s">
        <v>63</v>
      </c>
      <c r="L21" s="15" t="s">
        <v>76</v>
      </c>
      <c r="M21" s="15" t="s">
        <v>77</v>
      </c>
      <c r="N21" s="15" t="s">
        <v>66</v>
      </c>
      <c r="O21" s="8" t="s">
        <v>205</v>
      </c>
      <c r="P21" s="13" t="s">
        <v>63</v>
      </c>
      <c r="Q21" s="8" t="s">
        <v>68</v>
      </c>
    </row>
    <row r="22" spans="1:17" x14ac:dyDescent="0.25">
      <c r="A22" s="11" t="s">
        <v>206</v>
      </c>
      <c r="B22" s="12" t="s">
        <v>21</v>
      </c>
      <c r="C22" s="7" t="s">
        <v>27</v>
      </c>
      <c r="D22" s="7" t="s">
        <v>207</v>
      </c>
      <c r="E22" s="7" t="s">
        <v>208</v>
      </c>
      <c r="F22" s="7" t="s">
        <v>209</v>
      </c>
      <c r="G22" s="7" t="s">
        <v>210</v>
      </c>
      <c r="H22" s="7" t="s">
        <v>183</v>
      </c>
      <c r="I22" s="7" t="s">
        <v>211</v>
      </c>
      <c r="J22" s="7" t="s">
        <v>212</v>
      </c>
      <c r="K22" s="13" t="s">
        <v>63</v>
      </c>
      <c r="L22" s="12" t="s">
        <v>64</v>
      </c>
      <c r="M22" s="12" t="s">
        <v>65</v>
      </c>
      <c r="N22" s="12" t="s">
        <v>66</v>
      </c>
      <c r="O22" s="7" t="s">
        <v>213</v>
      </c>
      <c r="P22" s="13" t="s">
        <v>63</v>
      </c>
      <c r="Q22" s="7" t="s">
        <v>68</v>
      </c>
    </row>
    <row r="23" spans="1:17" x14ac:dyDescent="0.25">
      <c r="A23" s="14" t="s">
        <v>214</v>
      </c>
      <c r="B23" s="15" t="s">
        <v>21</v>
      </c>
      <c r="C23" s="8" t="s">
        <v>27</v>
      </c>
      <c r="D23" s="8" t="s">
        <v>207</v>
      </c>
      <c r="E23" s="8" t="s">
        <v>215</v>
      </c>
      <c r="F23" s="8" t="s">
        <v>216</v>
      </c>
      <c r="G23" s="8" t="s">
        <v>217</v>
      </c>
      <c r="H23" s="8" t="s">
        <v>183</v>
      </c>
      <c r="I23" s="8" t="s">
        <v>218</v>
      </c>
      <c r="J23" s="8" t="s">
        <v>219</v>
      </c>
      <c r="K23" s="13" t="s">
        <v>63</v>
      </c>
      <c r="L23" s="15" t="s">
        <v>64</v>
      </c>
      <c r="M23" s="15" t="s">
        <v>65</v>
      </c>
      <c r="N23" s="15" t="s">
        <v>66</v>
      </c>
      <c r="O23" s="8" t="s">
        <v>220</v>
      </c>
      <c r="P23" s="13" t="s">
        <v>63</v>
      </c>
      <c r="Q23" s="8" t="s">
        <v>68</v>
      </c>
    </row>
    <row r="24" spans="1:17" x14ac:dyDescent="0.25">
      <c r="A24" s="11" t="s">
        <v>221</v>
      </c>
      <c r="B24" s="12" t="s">
        <v>21</v>
      </c>
      <c r="C24" s="7" t="s">
        <v>27</v>
      </c>
      <c r="D24" s="7" t="s">
        <v>207</v>
      </c>
      <c r="E24" s="7" t="s">
        <v>222</v>
      </c>
      <c r="F24" s="7" t="s">
        <v>223</v>
      </c>
      <c r="G24" s="7" t="s">
        <v>224</v>
      </c>
      <c r="H24" s="7" t="s">
        <v>183</v>
      </c>
      <c r="I24" s="7" t="s">
        <v>225</v>
      </c>
      <c r="J24" s="7" t="s">
        <v>226</v>
      </c>
      <c r="K24" s="13" t="s">
        <v>63</v>
      </c>
      <c r="L24" s="12" t="s">
        <v>100</v>
      </c>
      <c r="M24" s="12" t="s">
        <v>65</v>
      </c>
      <c r="N24" s="12" t="s">
        <v>66</v>
      </c>
      <c r="O24" s="7" t="s">
        <v>227</v>
      </c>
      <c r="P24" s="13" t="s">
        <v>63</v>
      </c>
      <c r="Q24" s="7" t="s">
        <v>68</v>
      </c>
    </row>
    <row r="25" spans="1:17" x14ac:dyDescent="0.25">
      <c r="A25" s="14" t="s">
        <v>228</v>
      </c>
      <c r="B25" s="15" t="s">
        <v>21</v>
      </c>
      <c r="C25" s="8" t="s">
        <v>27</v>
      </c>
      <c r="D25" s="8" t="s">
        <v>229</v>
      </c>
      <c r="E25" s="8" t="s">
        <v>230</v>
      </c>
      <c r="F25" s="8" t="s">
        <v>231</v>
      </c>
      <c r="G25" s="8" t="s">
        <v>232</v>
      </c>
      <c r="H25" s="8" t="s">
        <v>183</v>
      </c>
      <c r="I25" s="8" t="s">
        <v>233</v>
      </c>
      <c r="J25" s="8" t="s">
        <v>234</v>
      </c>
      <c r="K25" s="13" t="s">
        <v>63</v>
      </c>
      <c r="L25" s="15" t="s">
        <v>100</v>
      </c>
      <c r="M25" s="15" t="s">
        <v>65</v>
      </c>
      <c r="N25" s="15" t="s">
        <v>66</v>
      </c>
      <c r="O25" s="8" t="s">
        <v>235</v>
      </c>
      <c r="P25" s="13" t="s">
        <v>63</v>
      </c>
      <c r="Q25" s="8" t="s">
        <v>236</v>
      </c>
    </row>
    <row r="26" spans="1:17" x14ac:dyDescent="0.25">
      <c r="A26" s="11" t="s">
        <v>237</v>
      </c>
      <c r="B26" s="12" t="s">
        <v>21</v>
      </c>
      <c r="C26" s="7" t="s">
        <v>27</v>
      </c>
      <c r="D26" s="7" t="s">
        <v>163</v>
      </c>
      <c r="E26" s="7" t="s">
        <v>238</v>
      </c>
      <c r="F26" s="7" t="s">
        <v>239</v>
      </c>
      <c r="G26" s="7" t="s">
        <v>240</v>
      </c>
      <c r="H26" s="7" t="s">
        <v>183</v>
      </c>
      <c r="I26" s="7" t="s">
        <v>241</v>
      </c>
      <c r="J26" s="7" t="s">
        <v>242</v>
      </c>
      <c r="K26" s="13" t="s">
        <v>63</v>
      </c>
      <c r="L26" s="12" t="s">
        <v>76</v>
      </c>
      <c r="M26" s="12" t="s">
        <v>77</v>
      </c>
      <c r="N26" s="12" t="s">
        <v>66</v>
      </c>
      <c r="O26" s="7" t="s">
        <v>243</v>
      </c>
      <c r="P26" s="13" t="s">
        <v>63</v>
      </c>
      <c r="Q26" s="7" t="s">
        <v>68</v>
      </c>
    </row>
    <row r="27" spans="1:17" x14ac:dyDescent="0.25">
      <c r="A27" s="14" t="s">
        <v>244</v>
      </c>
      <c r="B27" s="15" t="s">
        <v>21</v>
      </c>
      <c r="C27" s="8" t="s">
        <v>27</v>
      </c>
      <c r="D27" s="8" t="s">
        <v>245</v>
      </c>
      <c r="E27" s="8" t="s">
        <v>188</v>
      </c>
      <c r="F27" s="8" t="s">
        <v>246</v>
      </c>
      <c r="G27" s="8" t="s">
        <v>247</v>
      </c>
      <c r="H27" s="8" t="s">
        <v>183</v>
      </c>
      <c r="I27" s="8" t="s">
        <v>248</v>
      </c>
      <c r="J27" s="8" t="s">
        <v>249</v>
      </c>
      <c r="K27" s="13" t="s">
        <v>63</v>
      </c>
      <c r="L27" s="15" t="s">
        <v>76</v>
      </c>
      <c r="M27" s="15" t="s">
        <v>77</v>
      </c>
      <c r="N27" s="15" t="s">
        <v>66</v>
      </c>
      <c r="O27" s="8" t="s">
        <v>250</v>
      </c>
      <c r="P27" s="13" t="s">
        <v>63</v>
      </c>
      <c r="Q27" s="8" t="s">
        <v>68</v>
      </c>
    </row>
    <row r="28" spans="1:17" x14ac:dyDescent="0.25">
      <c r="A28" s="11" t="s">
        <v>251</v>
      </c>
      <c r="B28" s="12" t="s">
        <v>21</v>
      </c>
      <c r="C28" s="7" t="s">
        <v>27</v>
      </c>
      <c r="D28" s="7" t="s">
        <v>245</v>
      </c>
      <c r="E28" s="7" t="s">
        <v>252</v>
      </c>
      <c r="F28" s="7" t="s">
        <v>253</v>
      </c>
      <c r="G28" s="7" t="s">
        <v>254</v>
      </c>
      <c r="H28" s="7" t="s">
        <v>183</v>
      </c>
      <c r="I28" s="7" t="s">
        <v>255</v>
      </c>
      <c r="J28" s="7" t="s">
        <v>256</v>
      </c>
      <c r="K28" s="17" t="s">
        <v>257</v>
      </c>
      <c r="L28" s="12" t="s">
        <v>124</v>
      </c>
      <c r="M28" s="12" t="s">
        <v>115</v>
      </c>
      <c r="N28" s="12" t="s">
        <v>66</v>
      </c>
      <c r="O28" s="7" t="s">
        <v>258</v>
      </c>
      <c r="P28" s="13" t="s">
        <v>259</v>
      </c>
      <c r="Q28" s="7" t="s">
        <v>260</v>
      </c>
    </row>
    <row r="29" spans="1:17" x14ac:dyDescent="0.25">
      <c r="A29" s="14" t="s">
        <v>261</v>
      </c>
      <c r="B29" s="15" t="s">
        <v>21</v>
      </c>
      <c r="C29" s="8" t="s">
        <v>27</v>
      </c>
      <c r="D29" s="8" t="s">
        <v>245</v>
      </c>
      <c r="E29" s="8" t="s">
        <v>262</v>
      </c>
      <c r="F29" s="8" t="s">
        <v>263</v>
      </c>
      <c r="G29" s="8" t="s">
        <v>264</v>
      </c>
      <c r="H29" s="8" t="s">
        <v>183</v>
      </c>
      <c r="I29" s="8" t="s">
        <v>265</v>
      </c>
      <c r="J29" s="8" t="s">
        <v>266</v>
      </c>
      <c r="K29" s="13" t="s">
        <v>63</v>
      </c>
      <c r="L29" s="15" t="s">
        <v>124</v>
      </c>
      <c r="M29" s="15" t="s">
        <v>115</v>
      </c>
      <c r="N29" s="15" t="s">
        <v>66</v>
      </c>
      <c r="O29" s="8" t="s">
        <v>267</v>
      </c>
      <c r="P29" s="13" t="s">
        <v>63</v>
      </c>
      <c r="Q29" s="8" t="s">
        <v>68</v>
      </c>
    </row>
    <row r="30" spans="1:17" x14ac:dyDescent="0.25">
      <c r="A30" s="11" t="s">
        <v>268</v>
      </c>
      <c r="B30" s="12" t="s">
        <v>21</v>
      </c>
      <c r="C30" s="7" t="s">
        <v>27</v>
      </c>
      <c r="D30" s="7" t="s">
        <v>269</v>
      </c>
      <c r="E30" s="7" t="s">
        <v>270</v>
      </c>
      <c r="F30" s="7" t="s">
        <v>271</v>
      </c>
      <c r="G30" s="7" t="s">
        <v>272</v>
      </c>
      <c r="H30" s="7" t="s">
        <v>183</v>
      </c>
      <c r="I30" s="7" t="s">
        <v>273</v>
      </c>
      <c r="J30" s="7" t="s">
        <v>274</v>
      </c>
      <c r="K30" s="13" t="s">
        <v>63</v>
      </c>
      <c r="L30" s="12" t="s">
        <v>124</v>
      </c>
      <c r="M30" s="12" t="s">
        <v>115</v>
      </c>
      <c r="N30" s="12" t="s">
        <v>66</v>
      </c>
      <c r="O30" s="7" t="s">
        <v>275</v>
      </c>
      <c r="P30" s="13" t="s">
        <v>63</v>
      </c>
      <c r="Q30" s="7" t="s">
        <v>276</v>
      </c>
    </row>
    <row r="31" spans="1:17" x14ac:dyDescent="0.25">
      <c r="A31" s="14" t="s">
        <v>277</v>
      </c>
      <c r="B31" s="15" t="s">
        <v>21</v>
      </c>
      <c r="C31" s="8" t="s">
        <v>27</v>
      </c>
      <c r="D31" s="8" t="s">
        <v>269</v>
      </c>
      <c r="E31" s="8" t="s">
        <v>270</v>
      </c>
      <c r="F31" s="8" t="s">
        <v>278</v>
      </c>
      <c r="G31" s="8" t="s">
        <v>279</v>
      </c>
      <c r="H31" s="8" t="s">
        <v>183</v>
      </c>
      <c r="I31" s="8" t="s">
        <v>280</v>
      </c>
      <c r="J31" s="8" t="s">
        <v>281</v>
      </c>
      <c r="K31" s="13" t="s">
        <v>63</v>
      </c>
      <c r="L31" s="15" t="s">
        <v>124</v>
      </c>
      <c r="M31" s="15" t="s">
        <v>115</v>
      </c>
      <c r="N31" s="15" t="s">
        <v>66</v>
      </c>
      <c r="O31" s="8" t="s">
        <v>282</v>
      </c>
      <c r="P31" s="13" t="s">
        <v>63</v>
      </c>
      <c r="Q31" s="8" t="s">
        <v>283</v>
      </c>
    </row>
    <row r="32" spans="1:17" x14ac:dyDescent="0.25">
      <c r="A32" s="11" t="s">
        <v>284</v>
      </c>
      <c r="B32" s="12" t="s">
        <v>21</v>
      </c>
      <c r="C32" s="7" t="s">
        <v>27</v>
      </c>
      <c r="D32" s="7" t="s">
        <v>269</v>
      </c>
      <c r="E32" s="7" t="s">
        <v>270</v>
      </c>
      <c r="F32" s="7" t="s">
        <v>285</v>
      </c>
      <c r="G32" s="7" t="s">
        <v>286</v>
      </c>
      <c r="H32" s="7" t="s">
        <v>183</v>
      </c>
      <c r="I32" s="7" t="s">
        <v>287</v>
      </c>
      <c r="J32" s="7" t="s">
        <v>288</v>
      </c>
      <c r="K32" s="13" t="s">
        <v>63</v>
      </c>
      <c r="L32" s="12" t="s">
        <v>124</v>
      </c>
      <c r="M32" s="12" t="s">
        <v>115</v>
      </c>
      <c r="N32" s="12" t="s">
        <v>66</v>
      </c>
      <c r="O32" s="7" t="s">
        <v>289</v>
      </c>
      <c r="P32" s="13" t="s">
        <v>63</v>
      </c>
      <c r="Q32" s="7" t="s">
        <v>283</v>
      </c>
    </row>
    <row r="33" spans="1:17" x14ac:dyDescent="0.25">
      <c r="A33" s="14" t="s">
        <v>290</v>
      </c>
      <c r="B33" s="15" t="s">
        <v>21</v>
      </c>
      <c r="C33" s="8" t="s">
        <v>27</v>
      </c>
      <c r="D33" s="8" t="s">
        <v>291</v>
      </c>
      <c r="E33" s="8" t="s">
        <v>262</v>
      </c>
      <c r="F33" s="8" t="s">
        <v>292</v>
      </c>
      <c r="G33" s="8" t="s">
        <v>293</v>
      </c>
      <c r="H33" s="8" t="s">
        <v>183</v>
      </c>
      <c r="I33" s="8" t="s">
        <v>294</v>
      </c>
      <c r="J33" s="8" t="s">
        <v>295</v>
      </c>
      <c r="K33" s="13" t="s">
        <v>63</v>
      </c>
      <c r="L33" s="15" t="s">
        <v>64</v>
      </c>
      <c r="M33" s="15" t="s">
        <v>65</v>
      </c>
      <c r="N33" s="15" t="s">
        <v>66</v>
      </c>
      <c r="O33" s="8" t="s">
        <v>296</v>
      </c>
      <c r="P33" s="13" t="s">
        <v>63</v>
      </c>
      <c r="Q33" s="8" t="s">
        <v>297</v>
      </c>
    </row>
    <row r="34" spans="1:17" x14ac:dyDescent="0.25">
      <c r="A34" s="11" t="s">
        <v>298</v>
      </c>
      <c r="B34" s="12" t="s">
        <v>21</v>
      </c>
      <c r="C34" s="7" t="s">
        <v>28</v>
      </c>
      <c r="D34" s="7" t="s">
        <v>163</v>
      </c>
      <c r="E34" s="7" t="s">
        <v>299</v>
      </c>
      <c r="F34" s="7" t="s">
        <v>300</v>
      </c>
      <c r="G34" s="7" t="s">
        <v>301</v>
      </c>
      <c r="H34" s="7" t="s">
        <v>183</v>
      </c>
      <c r="I34" s="7" t="s">
        <v>302</v>
      </c>
      <c r="J34" s="7" t="s">
        <v>303</v>
      </c>
      <c r="K34" s="13" t="s">
        <v>63</v>
      </c>
      <c r="L34" s="12" t="s">
        <v>100</v>
      </c>
      <c r="M34" s="12" t="s">
        <v>65</v>
      </c>
      <c r="N34" s="12" t="s">
        <v>66</v>
      </c>
      <c r="O34" s="7" t="s">
        <v>304</v>
      </c>
      <c r="P34" s="13" t="s">
        <v>63</v>
      </c>
      <c r="Q34" s="7" t="s">
        <v>68</v>
      </c>
    </row>
    <row r="35" spans="1:17" x14ac:dyDescent="0.25">
      <c r="A35" s="14" t="s">
        <v>305</v>
      </c>
      <c r="B35" s="15" t="s">
        <v>21</v>
      </c>
      <c r="C35" s="8" t="s">
        <v>28</v>
      </c>
      <c r="D35" s="8" t="s">
        <v>163</v>
      </c>
      <c r="E35" s="8" t="s">
        <v>238</v>
      </c>
      <c r="F35" s="8" t="s">
        <v>306</v>
      </c>
      <c r="G35" s="8" t="s">
        <v>307</v>
      </c>
      <c r="H35" s="8" t="s">
        <v>183</v>
      </c>
      <c r="I35" s="8" t="s">
        <v>308</v>
      </c>
      <c r="J35" s="8" t="s">
        <v>309</v>
      </c>
      <c r="K35" s="13" t="s">
        <v>63</v>
      </c>
      <c r="L35" s="15" t="s">
        <v>64</v>
      </c>
      <c r="M35" s="15" t="s">
        <v>65</v>
      </c>
      <c r="N35" s="15" t="s">
        <v>66</v>
      </c>
      <c r="O35" s="8" t="s">
        <v>310</v>
      </c>
      <c r="P35" s="13" t="s">
        <v>63</v>
      </c>
      <c r="Q35" s="8" t="s">
        <v>68</v>
      </c>
    </row>
    <row r="36" spans="1:17" x14ac:dyDescent="0.25">
      <c r="A36" s="11" t="s">
        <v>311</v>
      </c>
      <c r="B36" s="12" t="s">
        <v>21</v>
      </c>
      <c r="C36" s="7" t="s">
        <v>28</v>
      </c>
      <c r="D36" s="7" t="s">
        <v>312</v>
      </c>
      <c r="E36" s="7" t="s">
        <v>313</v>
      </c>
      <c r="F36" s="7" t="s">
        <v>314</v>
      </c>
      <c r="G36" s="7" t="s">
        <v>315</v>
      </c>
      <c r="H36" s="7" t="s">
        <v>316</v>
      </c>
      <c r="I36" s="7" t="s">
        <v>317</v>
      </c>
      <c r="J36" s="7" t="s">
        <v>318</v>
      </c>
      <c r="K36" s="13" t="s">
        <v>63</v>
      </c>
      <c r="L36" s="12" t="s">
        <v>76</v>
      </c>
      <c r="M36" s="12" t="s">
        <v>77</v>
      </c>
      <c r="N36" s="12" t="s">
        <v>66</v>
      </c>
      <c r="O36" s="7" t="s">
        <v>319</v>
      </c>
      <c r="P36" s="13" t="s">
        <v>63</v>
      </c>
      <c r="Q36" s="7" t="s">
        <v>68</v>
      </c>
    </row>
    <row r="37" spans="1:17" x14ac:dyDescent="0.25">
      <c r="A37" s="14" t="s">
        <v>320</v>
      </c>
      <c r="B37" s="15" t="s">
        <v>21</v>
      </c>
      <c r="C37" s="8" t="s">
        <v>28</v>
      </c>
      <c r="D37" s="8" t="s">
        <v>312</v>
      </c>
      <c r="E37" s="8" t="s">
        <v>321</v>
      </c>
      <c r="F37" s="8" t="s">
        <v>322</v>
      </c>
      <c r="G37" s="8" t="s">
        <v>323</v>
      </c>
      <c r="H37" s="8" t="s">
        <v>324</v>
      </c>
      <c r="I37" s="8" t="s">
        <v>325</v>
      </c>
      <c r="J37" s="8" t="s">
        <v>318</v>
      </c>
      <c r="K37" s="13" t="s">
        <v>63</v>
      </c>
      <c r="L37" s="15" t="s">
        <v>76</v>
      </c>
      <c r="M37" s="15" t="s">
        <v>77</v>
      </c>
      <c r="N37" s="15" t="s">
        <v>66</v>
      </c>
      <c r="O37" s="8" t="s">
        <v>326</v>
      </c>
      <c r="P37" s="13" t="s">
        <v>63</v>
      </c>
      <c r="Q37" s="8" t="s">
        <v>68</v>
      </c>
    </row>
    <row r="38" spans="1:17" x14ac:dyDescent="0.25">
      <c r="A38" s="11" t="s">
        <v>327</v>
      </c>
      <c r="B38" s="12" t="s">
        <v>21</v>
      </c>
      <c r="C38" s="7" t="s">
        <v>28</v>
      </c>
      <c r="D38" s="7" t="s">
        <v>312</v>
      </c>
      <c r="E38" s="7" t="s">
        <v>328</v>
      </c>
      <c r="F38" s="7" t="s">
        <v>329</v>
      </c>
      <c r="G38" s="7" t="s">
        <v>330</v>
      </c>
      <c r="H38" s="7" t="s">
        <v>331</v>
      </c>
      <c r="I38" s="7" t="s">
        <v>332</v>
      </c>
      <c r="J38" s="7" t="s">
        <v>318</v>
      </c>
      <c r="K38" s="13" t="s">
        <v>63</v>
      </c>
      <c r="L38" s="12" t="s">
        <v>76</v>
      </c>
      <c r="M38" s="12" t="s">
        <v>77</v>
      </c>
      <c r="N38" s="12" t="s">
        <v>66</v>
      </c>
      <c r="O38" s="7" t="s">
        <v>333</v>
      </c>
      <c r="P38" s="13" t="s">
        <v>63</v>
      </c>
      <c r="Q38" s="7" t="s">
        <v>68</v>
      </c>
    </row>
    <row r="39" spans="1:17" x14ac:dyDescent="0.25">
      <c r="A39" s="14" t="s">
        <v>334</v>
      </c>
      <c r="B39" s="15" t="s">
        <v>21</v>
      </c>
      <c r="C39" s="8" t="s">
        <v>28</v>
      </c>
      <c r="D39" s="8" t="s">
        <v>312</v>
      </c>
      <c r="E39" s="8" t="s">
        <v>335</v>
      </c>
      <c r="F39" s="8" t="s">
        <v>336</v>
      </c>
      <c r="G39" s="8" t="s">
        <v>337</v>
      </c>
      <c r="H39" s="8" t="s">
        <v>338</v>
      </c>
      <c r="I39" s="8" t="s">
        <v>339</v>
      </c>
      <c r="J39" s="8" t="s">
        <v>309</v>
      </c>
      <c r="K39" s="13" t="s">
        <v>63</v>
      </c>
      <c r="L39" s="15" t="s">
        <v>64</v>
      </c>
      <c r="M39" s="15" t="s">
        <v>65</v>
      </c>
      <c r="N39" s="15" t="s">
        <v>66</v>
      </c>
      <c r="O39" s="8" t="s">
        <v>340</v>
      </c>
      <c r="P39" s="13" t="s">
        <v>63</v>
      </c>
      <c r="Q39" s="8" t="s">
        <v>68</v>
      </c>
    </row>
    <row r="40" spans="1:17" x14ac:dyDescent="0.25">
      <c r="A40" s="11" t="s">
        <v>341</v>
      </c>
      <c r="B40" s="12" t="s">
        <v>21</v>
      </c>
      <c r="C40" s="7" t="s">
        <v>28</v>
      </c>
      <c r="D40" s="7" t="s">
        <v>342</v>
      </c>
      <c r="E40" s="7" t="s">
        <v>343</v>
      </c>
      <c r="F40" s="7" t="s">
        <v>344</v>
      </c>
      <c r="G40" s="7" t="s">
        <v>345</v>
      </c>
      <c r="H40" s="7" t="s">
        <v>346</v>
      </c>
      <c r="I40" s="7" t="s">
        <v>347</v>
      </c>
      <c r="J40" s="7" t="s">
        <v>348</v>
      </c>
      <c r="K40" s="13" t="s">
        <v>63</v>
      </c>
      <c r="L40" s="12" t="s">
        <v>100</v>
      </c>
      <c r="M40" s="12" t="s">
        <v>65</v>
      </c>
      <c r="N40" s="12" t="s">
        <v>66</v>
      </c>
      <c r="O40" s="7" t="s">
        <v>349</v>
      </c>
      <c r="P40" s="13" t="s">
        <v>63</v>
      </c>
      <c r="Q40" s="7" t="s">
        <v>68</v>
      </c>
    </row>
    <row r="41" spans="1:17" x14ac:dyDescent="0.25">
      <c r="A41" s="14" t="s">
        <v>350</v>
      </c>
      <c r="B41" s="15" t="s">
        <v>21</v>
      </c>
      <c r="C41" s="8" t="s">
        <v>28</v>
      </c>
      <c r="D41" s="8" t="s">
        <v>163</v>
      </c>
      <c r="E41" s="8" t="s">
        <v>351</v>
      </c>
      <c r="F41" s="8" t="s">
        <v>352</v>
      </c>
      <c r="G41" s="8" t="s">
        <v>353</v>
      </c>
      <c r="H41" s="8" t="s">
        <v>183</v>
      </c>
      <c r="I41" s="8" t="s">
        <v>354</v>
      </c>
      <c r="J41" s="8" t="s">
        <v>355</v>
      </c>
      <c r="K41" s="13" t="s">
        <v>63</v>
      </c>
      <c r="L41" s="15" t="s">
        <v>64</v>
      </c>
      <c r="M41" s="15" t="s">
        <v>65</v>
      </c>
      <c r="N41" s="15" t="s">
        <v>66</v>
      </c>
      <c r="O41" s="8" t="s">
        <v>356</v>
      </c>
      <c r="P41" s="13" t="s">
        <v>63</v>
      </c>
      <c r="Q41" s="8" t="s">
        <v>68</v>
      </c>
    </row>
    <row r="42" spans="1:17" x14ac:dyDescent="0.25">
      <c r="A42" s="11" t="s">
        <v>357</v>
      </c>
      <c r="B42" s="12" t="s">
        <v>21</v>
      </c>
      <c r="C42" s="7" t="s">
        <v>28</v>
      </c>
      <c r="D42" s="7" t="s">
        <v>163</v>
      </c>
      <c r="E42" s="7" t="s">
        <v>358</v>
      </c>
      <c r="F42" s="7" t="s">
        <v>359</v>
      </c>
      <c r="G42" s="7" t="s">
        <v>360</v>
      </c>
      <c r="H42" s="7" t="s">
        <v>183</v>
      </c>
      <c r="I42" s="7" t="s">
        <v>361</v>
      </c>
      <c r="J42" s="7" t="s">
        <v>362</v>
      </c>
      <c r="K42" s="13" t="s">
        <v>63</v>
      </c>
      <c r="L42" s="12" t="s">
        <v>76</v>
      </c>
      <c r="M42" s="12" t="s">
        <v>77</v>
      </c>
      <c r="N42" s="12" t="s">
        <v>66</v>
      </c>
      <c r="O42" s="7" t="s">
        <v>363</v>
      </c>
      <c r="P42" s="13" t="s">
        <v>63</v>
      </c>
      <c r="Q42" s="7" t="s">
        <v>68</v>
      </c>
    </row>
    <row r="43" spans="1:17" x14ac:dyDescent="0.25">
      <c r="A43" s="14" t="s">
        <v>364</v>
      </c>
      <c r="B43" s="15" t="s">
        <v>21</v>
      </c>
      <c r="C43" s="8" t="s">
        <v>28</v>
      </c>
      <c r="D43" s="8" t="s">
        <v>163</v>
      </c>
      <c r="E43" s="8" t="s">
        <v>365</v>
      </c>
      <c r="F43" s="8" t="s">
        <v>366</v>
      </c>
      <c r="G43" s="8" t="s">
        <v>367</v>
      </c>
      <c r="H43" s="8" t="s">
        <v>183</v>
      </c>
      <c r="I43" s="8" t="s">
        <v>368</v>
      </c>
      <c r="J43" s="8" t="s">
        <v>369</v>
      </c>
      <c r="K43" s="13" t="s">
        <v>63</v>
      </c>
      <c r="L43" s="15" t="s">
        <v>76</v>
      </c>
      <c r="M43" s="15" t="s">
        <v>77</v>
      </c>
      <c r="N43" s="15" t="s">
        <v>66</v>
      </c>
      <c r="O43" s="8" t="s">
        <v>370</v>
      </c>
      <c r="P43" s="13" t="s">
        <v>63</v>
      </c>
      <c r="Q43" s="8" t="s">
        <v>68</v>
      </c>
    </row>
    <row r="44" spans="1:17" x14ac:dyDescent="0.25">
      <c r="A44" s="11" t="s">
        <v>371</v>
      </c>
      <c r="B44" s="12" t="s">
        <v>21</v>
      </c>
      <c r="C44" s="7" t="s">
        <v>28</v>
      </c>
      <c r="D44" s="7" t="s">
        <v>163</v>
      </c>
      <c r="E44" s="7" t="s">
        <v>343</v>
      </c>
      <c r="F44" s="7" t="s">
        <v>372</v>
      </c>
      <c r="G44" s="7" t="s">
        <v>373</v>
      </c>
      <c r="H44" s="7" t="s">
        <v>183</v>
      </c>
      <c r="I44" s="7" t="s">
        <v>374</v>
      </c>
      <c r="J44" s="7" t="s">
        <v>375</v>
      </c>
      <c r="K44" s="17" t="s">
        <v>376</v>
      </c>
      <c r="L44" s="12" t="s">
        <v>124</v>
      </c>
      <c r="M44" s="12" t="s">
        <v>115</v>
      </c>
      <c r="N44" s="12" t="s">
        <v>66</v>
      </c>
      <c r="O44" s="7" t="s">
        <v>377</v>
      </c>
      <c r="P44" s="13" t="s">
        <v>259</v>
      </c>
      <c r="Q44" s="7" t="s">
        <v>378</v>
      </c>
    </row>
    <row r="45" spans="1:17" x14ac:dyDescent="0.25">
      <c r="A45" s="14" t="s">
        <v>379</v>
      </c>
      <c r="B45" s="15" t="s">
        <v>21</v>
      </c>
      <c r="C45" s="8" t="s">
        <v>28</v>
      </c>
      <c r="D45" s="8" t="s">
        <v>163</v>
      </c>
      <c r="E45" s="8" t="s">
        <v>380</v>
      </c>
      <c r="F45" s="8" t="s">
        <v>381</v>
      </c>
      <c r="G45" s="8" t="s">
        <v>382</v>
      </c>
      <c r="H45" s="8" t="s">
        <v>183</v>
      </c>
      <c r="I45" s="8" t="s">
        <v>383</v>
      </c>
      <c r="J45" s="8" t="s">
        <v>384</v>
      </c>
      <c r="K45" s="13" t="s">
        <v>63</v>
      </c>
      <c r="L45" s="15" t="s">
        <v>100</v>
      </c>
      <c r="M45" s="15" t="s">
        <v>65</v>
      </c>
      <c r="N45" s="15" t="s">
        <v>66</v>
      </c>
      <c r="O45" s="8" t="s">
        <v>385</v>
      </c>
      <c r="P45" s="13" t="s">
        <v>63</v>
      </c>
      <c r="Q45" s="8" t="s">
        <v>68</v>
      </c>
    </row>
    <row r="46" spans="1:17" x14ac:dyDescent="0.25">
      <c r="A46" s="11" t="s">
        <v>386</v>
      </c>
      <c r="B46" s="12" t="s">
        <v>21</v>
      </c>
      <c r="C46" s="7" t="s">
        <v>28</v>
      </c>
      <c r="D46" s="7" t="s">
        <v>163</v>
      </c>
      <c r="E46" s="7" t="s">
        <v>387</v>
      </c>
      <c r="F46" s="7" t="s">
        <v>388</v>
      </c>
      <c r="G46" s="7" t="s">
        <v>389</v>
      </c>
      <c r="H46" s="7" t="s">
        <v>390</v>
      </c>
      <c r="I46" s="7" t="s">
        <v>391</v>
      </c>
      <c r="J46" s="7" t="s">
        <v>392</v>
      </c>
      <c r="K46" s="17" t="s">
        <v>393</v>
      </c>
      <c r="L46" s="12" t="s">
        <v>100</v>
      </c>
      <c r="M46" s="12" t="s">
        <v>65</v>
      </c>
      <c r="N46" s="12" t="s">
        <v>66</v>
      </c>
      <c r="O46" s="7" t="s">
        <v>394</v>
      </c>
      <c r="P46" s="13" t="s">
        <v>259</v>
      </c>
      <c r="Q46" s="7" t="s">
        <v>395</v>
      </c>
    </row>
    <row r="47" spans="1:17" x14ac:dyDescent="0.25">
      <c r="A47" s="14" t="s">
        <v>396</v>
      </c>
      <c r="B47" s="15" t="s">
        <v>21</v>
      </c>
      <c r="C47" s="8" t="s">
        <v>28</v>
      </c>
      <c r="D47" s="8" t="s">
        <v>397</v>
      </c>
      <c r="E47" s="8" t="s">
        <v>398</v>
      </c>
      <c r="F47" s="8" t="s">
        <v>399</v>
      </c>
      <c r="G47" s="8" t="s">
        <v>400</v>
      </c>
      <c r="H47" s="8" t="s">
        <v>183</v>
      </c>
      <c r="I47" s="8" t="s">
        <v>401</v>
      </c>
      <c r="J47" s="8" t="s">
        <v>402</v>
      </c>
      <c r="K47" s="13" t="s">
        <v>63</v>
      </c>
      <c r="L47" s="15" t="s">
        <v>76</v>
      </c>
      <c r="M47" s="15" t="s">
        <v>77</v>
      </c>
      <c r="N47" s="15" t="s">
        <v>66</v>
      </c>
      <c r="O47" s="8" t="s">
        <v>403</v>
      </c>
      <c r="P47" s="13" t="s">
        <v>63</v>
      </c>
      <c r="Q47" s="8" t="s">
        <v>404</v>
      </c>
    </row>
    <row r="48" spans="1:17" x14ac:dyDescent="0.25">
      <c r="A48" s="11" t="s">
        <v>405</v>
      </c>
      <c r="B48" s="12" t="s">
        <v>21</v>
      </c>
      <c r="C48" s="7" t="s">
        <v>28</v>
      </c>
      <c r="D48" s="7" t="s">
        <v>397</v>
      </c>
      <c r="E48" s="7" t="s">
        <v>406</v>
      </c>
      <c r="F48" s="7" t="s">
        <v>407</v>
      </c>
      <c r="G48" s="7" t="s">
        <v>408</v>
      </c>
      <c r="H48" s="7" t="s">
        <v>409</v>
      </c>
      <c r="I48" s="7" t="s">
        <v>410</v>
      </c>
      <c r="J48" s="7" t="s">
        <v>411</v>
      </c>
      <c r="K48" s="13" t="s">
        <v>63</v>
      </c>
      <c r="L48" s="12" t="s">
        <v>76</v>
      </c>
      <c r="M48" s="12" t="s">
        <v>77</v>
      </c>
      <c r="N48" s="12" t="s">
        <v>66</v>
      </c>
      <c r="O48" s="7" t="s">
        <v>412</v>
      </c>
      <c r="P48" s="13" t="s">
        <v>63</v>
      </c>
      <c r="Q48" s="7" t="s">
        <v>404</v>
      </c>
    </row>
    <row r="49" spans="1:17" x14ac:dyDescent="0.25">
      <c r="A49" s="14" t="s">
        <v>413</v>
      </c>
      <c r="B49" s="15" t="s">
        <v>22</v>
      </c>
      <c r="C49" s="8" t="s">
        <v>29</v>
      </c>
      <c r="D49" s="8" t="s">
        <v>414</v>
      </c>
      <c r="E49" s="8" t="s">
        <v>415</v>
      </c>
      <c r="F49" s="8" t="s">
        <v>416</v>
      </c>
      <c r="G49" s="8" t="s">
        <v>417</v>
      </c>
      <c r="H49" s="8" t="s">
        <v>418</v>
      </c>
      <c r="I49" s="8" t="s">
        <v>419</v>
      </c>
      <c r="J49" s="8" t="s">
        <v>420</v>
      </c>
      <c r="K49" s="13" t="s">
        <v>63</v>
      </c>
      <c r="L49" s="15" t="s">
        <v>64</v>
      </c>
      <c r="M49" s="15" t="s">
        <v>65</v>
      </c>
      <c r="N49" s="15" t="s">
        <v>66</v>
      </c>
      <c r="O49" s="8" t="s">
        <v>421</v>
      </c>
      <c r="P49" s="13" t="s">
        <v>63</v>
      </c>
      <c r="Q49" s="8" t="s">
        <v>422</v>
      </c>
    </row>
    <row r="50" spans="1:17" x14ac:dyDescent="0.25">
      <c r="A50" s="11" t="s">
        <v>423</v>
      </c>
      <c r="B50" s="12" t="s">
        <v>22</v>
      </c>
      <c r="C50" s="7" t="s">
        <v>29</v>
      </c>
      <c r="D50" s="7" t="s">
        <v>424</v>
      </c>
      <c r="E50" s="7" t="s">
        <v>425</v>
      </c>
      <c r="F50" s="7" t="s">
        <v>426</v>
      </c>
      <c r="G50" s="7" t="s">
        <v>427</v>
      </c>
      <c r="H50" s="7" t="s">
        <v>316</v>
      </c>
      <c r="I50" s="7" t="s">
        <v>428</v>
      </c>
      <c r="J50" s="7" t="s">
        <v>429</v>
      </c>
      <c r="K50" s="13" t="s">
        <v>63</v>
      </c>
      <c r="L50" s="12" t="s">
        <v>100</v>
      </c>
      <c r="M50" s="12" t="s">
        <v>65</v>
      </c>
      <c r="N50" s="12" t="s">
        <v>66</v>
      </c>
      <c r="O50" s="7" t="s">
        <v>430</v>
      </c>
      <c r="P50" s="13" t="s">
        <v>63</v>
      </c>
      <c r="Q50" s="7" t="s">
        <v>68</v>
      </c>
    </row>
    <row r="51" spans="1:17" x14ac:dyDescent="0.25">
      <c r="A51" s="14" t="s">
        <v>431</v>
      </c>
      <c r="B51" s="15" t="s">
        <v>22</v>
      </c>
      <c r="C51" s="8" t="s">
        <v>29</v>
      </c>
      <c r="D51" s="8" t="s">
        <v>432</v>
      </c>
      <c r="E51" s="8" t="s">
        <v>433</v>
      </c>
      <c r="F51" s="8" t="s">
        <v>434</v>
      </c>
      <c r="G51" s="8" t="s">
        <v>435</v>
      </c>
      <c r="H51" s="8" t="s">
        <v>436</v>
      </c>
      <c r="I51" s="8" t="s">
        <v>437</v>
      </c>
      <c r="J51" s="8" t="s">
        <v>438</v>
      </c>
      <c r="K51" s="13" t="s">
        <v>63</v>
      </c>
      <c r="L51" s="15" t="s">
        <v>76</v>
      </c>
      <c r="M51" s="15" t="s">
        <v>77</v>
      </c>
      <c r="N51" s="15" t="s">
        <v>66</v>
      </c>
      <c r="O51" s="8" t="s">
        <v>439</v>
      </c>
      <c r="P51" s="13" t="s">
        <v>63</v>
      </c>
      <c r="Q51" s="8" t="s">
        <v>440</v>
      </c>
    </row>
    <row r="52" spans="1:17" x14ac:dyDescent="0.25">
      <c r="A52" s="11" t="s">
        <v>441</v>
      </c>
      <c r="B52" s="12" t="s">
        <v>22</v>
      </c>
      <c r="C52" s="7" t="s">
        <v>29</v>
      </c>
      <c r="D52" s="7" t="s">
        <v>432</v>
      </c>
      <c r="E52" s="7" t="s">
        <v>433</v>
      </c>
      <c r="F52" s="7" t="s">
        <v>442</v>
      </c>
      <c r="G52" s="7" t="s">
        <v>443</v>
      </c>
      <c r="H52" s="7" t="s">
        <v>444</v>
      </c>
      <c r="I52" s="7" t="s">
        <v>445</v>
      </c>
      <c r="J52" s="7" t="s">
        <v>446</v>
      </c>
      <c r="K52" s="13" t="s">
        <v>63</v>
      </c>
      <c r="L52" s="12" t="s">
        <v>100</v>
      </c>
      <c r="M52" s="12" t="s">
        <v>65</v>
      </c>
      <c r="N52" s="12" t="s">
        <v>66</v>
      </c>
      <c r="O52" s="7" t="s">
        <v>447</v>
      </c>
      <c r="P52" s="13" t="s">
        <v>63</v>
      </c>
      <c r="Q52" s="7" t="s">
        <v>448</v>
      </c>
    </row>
    <row r="53" spans="1:17" x14ac:dyDescent="0.25">
      <c r="A53" s="14" t="s">
        <v>449</v>
      </c>
      <c r="B53" s="15" t="s">
        <v>22</v>
      </c>
      <c r="C53" s="8" t="s">
        <v>29</v>
      </c>
      <c r="D53" s="8" t="s">
        <v>450</v>
      </c>
      <c r="E53" s="8" t="s">
        <v>433</v>
      </c>
      <c r="F53" s="8" t="s">
        <v>451</v>
      </c>
      <c r="G53" s="8" t="s">
        <v>452</v>
      </c>
      <c r="H53" s="8" t="s">
        <v>453</v>
      </c>
      <c r="I53" s="8" t="s">
        <v>454</v>
      </c>
      <c r="J53" s="8" t="s">
        <v>446</v>
      </c>
      <c r="K53" s="13" t="s">
        <v>63</v>
      </c>
      <c r="L53" s="15" t="s">
        <v>76</v>
      </c>
      <c r="M53" s="15" t="s">
        <v>77</v>
      </c>
      <c r="N53" s="15" t="s">
        <v>66</v>
      </c>
      <c r="O53" s="8" t="s">
        <v>455</v>
      </c>
      <c r="P53" s="13" t="s">
        <v>63</v>
      </c>
      <c r="Q53" s="8" t="s">
        <v>68</v>
      </c>
    </row>
    <row r="54" spans="1:17" x14ac:dyDescent="0.25">
      <c r="A54" s="11" t="s">
        <v>456</v>
      </c>
      <c r="B54" s="12" t="s">
        <v>22</v>
      </c>
      <c r="C54" s="7" t="s">
        <v>29</v>
      </c>
      <c r="D54" s="7" t="s">
        <v>457</v>
      </c>
      <c r="E54" s="7" t="s">
        <v>433</v>
      </c>
      <c r="F54" s="7" t="s">
        <v>458</v>
      </c>
      <c r="G54" s="7" t="s">
        <v>459</v>
      </c>
      <c r="H54" s="7" t="s">
        <v>460</v>
      </c>
      <c r="I54" s="7" t="s">
        <v>461</v>
      </c>
      <c r="J54" s="7" t="s">
        <v>462</v>
      </c>
      <c r="K54" s="13" t="s">
        <v>63</v>
      </c>
      <c r="L54" s="12" t="s">
        <v>100</v>
      </c>
      <c r="M54" s="12" t="s">
        <v>65</v>
      </c>
      <c r="N54" s="12" t="s">
        <v>66</v>
      </c>
      <c r="O54" s="7" t="s">
        <v>463</v>
      </c>
      <c r="P54" s="13" t="s">
        <v>63</v>
      </c>
      <c r="Q54" s="7" t="s">
        <v>464</v>
      </c>
    </row>
    <row r="55" spans="1:17" x14ac:dyDescent="0.25">
      <c r="A55" s="14" t="s">
        <v>465</v>
      </c>
      <c r="B55" s="15" t="s">
        <v>22</v>
      </c>
      <c r="C55" s="8" t="s">
        <v>29</v>
      </c>
      <c r="D55" s="8" t="s">
        <v>466</v>
      </c>
      <c r="E55" s="8" t="s">
        <v>433</v>
      </c>
      <c r="F55" s="8" t="s">
        <v>467</v>
      </c>
      <c r="G55" s="8" t="s">
        <v>468</v>
      </c>
      <c r="H55" s="8" t="s">
        <v>469</v>
      </c>
      <c r="I55" s="8" t="s">
        <v>470</v>
      </c>
      <c r="J55" s="8" t="s">
        <v>471</v>
      </c>
      <c r="K55" s="13" t="s">
        <v>63</v>
      </c>
      <c r="L55" s="15" t="s">
        <v>76</v>
      </c>
      <c r="M55" s="15" t="s">
        <v>77</v>
      </c>
      <c r="N55" s="15" t="s">
        <v>66</v>
      </c>
      <c r="O55" s="8" t="s">
        <v>472</v>
      </c>
      <c r="P55" s="13" t="s">
        <v>63</v>
      </c>
      <c r="Q55" s="8" t="s">
        <v>68</v>
      </c>
    </row>
    <row r="56" spans="1:17" x14ac:dyDescent="0.25">
      <c r="A56" s="11" t="s">
        <v>473</v>
      </c>
      <c r="B56" s="12" t="s">
        <v>22</v>
      </c>
      <c r="C56" s="7" t="s">
        <v>29</v>
      </c>
      <c r="D56" s="7" t="s">
        <v>474</v>
      </c>
      <c r="E56" s="7" t="s">
        <v>433</v>
      </c>
      <c r="F56" s="7" t="s">
        <v>475</v>
      </c>
      <c r="G56" s="7" t="s">
        <v>476</v>
      </c>
      <c r="H56" s="7" t="s">
        <v>477</v>
      </c>
      <c r="I56" s="7" t="s">
        <v>478</v>
      </c>
      <c r="J56" s="7" t="s">
        <v>479</v>
      </c>
      <c r="K56" s="13" t="s">
        <v>63</v>
      </c>
      <c r="L56" s="12" t="s">
        <v>76</v>
      </c>
      <c r="M56" s="12" t="s">
        <v>77</v>
      </c>
      <c r="N56" s="12" t="s">
        <v>66</v>
      </c>
      <c r="O56" s="7" t="s">
        <v>480</v>
      </c>
      <c r="P56" s="13" t="s">
        <v>63</v>
      </c>
      <c r="Q56" s="7" t="s">
        <v>68</v>
      </c>
    </row>
    <row r="57" spans="1:17" x14ac:dyDescent="0.25">
      <c r="A57" s="14" t="s">
        <v>481</v>
      </c>
      <c r="B57" s="15" t="s">
        <v>22</v>
      </c>
      <c r="C57" s="8" t="s">
        <v>29</v>
      </c>
      <c r="D57" s="8" t="s">
        <v>482</v>
      </c>
      <c r="E57" s="8" t="s">
        <v>433</v>
      </c>
      <c r="F57" s="8" t="s">
        <v>483</v>
      </c>
      <c r="G57" s="8" t="s">
        <v>484</v>
      </c>
      <c r="H57" s="8" t="s">
        <v>485</v>
      </c>
      <c r="I57" s="8" t="s">
        <v>486</v>
      </c>
      <c r="J57" s="8" t="s">
        <v>471</v>
      </c>
      <c r="K57" s="13" t="s">
        <v>63</v>
      </c>
      <c r="L57" s="15" t="s">
        <v>100</v>
      </c>
      <c r="M57" s="15" t="s">
        <v>65</v>
      </c>
      <c r="N57" s="15" t="s">
        <v>66</v>
      </c>
      <c r="O57" s="8" t="s">
        <v>487</v>
      </c>
      <c r="P57" s="13" t="s">
        <v>63</v>
      </c>
      <c r="Q57" s="8" t="s">
        <v>68</v>
      </c>
    </row>
    <row r="58" spans="1:17" x14ac:dyDescent="0.25">
      <c r="A58" s="11" t="s">
        <v>488</v>
      </c>
      <c r="B58" s="12" t="s">
        <v>22</v>
      </c>
      <c r="C58" s="7" t="s">
        <v>29</v>
      </c>
      <c r="D58" s="7" t="s">
        <v>489</v>
      </c>
      <c r="E58" s="7" t="s">
        <v>433</v>
      </c>
      <c r="F58" s="7" t="s">
        <v>490</v>
      </c>
      <c r="G58" s="7" t="s">
        <v>491</v>
      </c>
      <c r="H58" s="7" t="s">
        <v>492</v>
      </c>
      <c r="I58" s="7" t="s">
        <v>493</v>
      </c>
      <c r="J58" s="7" t="s">
        <v>494</v>
      </c>
      <c r="K58" s="13" t="s">
        <v>63</v>
      </c>
      <c r="L58" s="12" t="s">
        <v>76</v>
      </c>
      <c r="M58" s="12" t="s">
        <v>77</v>
      </c>
      <c r="N58" s="12" t="s">
        <v>66</v>
      </c>
      <c r="O58" s="7" t="s">
        <v>495</v>
      </c>
      <c r="P58" s="13" t="s">
        <v>63</v>
      </c>
      <c r="Q58" s="7" t="s">
        <v>68</v>
      </c>
    </row>
    <row r="59" spans="1:17" x14ac:dyDescent="0.25">
      <c r="A59" s="14" t="s">
        <v>496</v>
      </c>
      <c r="B59" s="15" t="s">
        <v>22</v>
      </c>
      <c r="C59" s="8" t="s">
        <v>29</v>
      </c>
      <c r="D59" s="8" t="s">
        <v>163</v>
      </c>
      <c r="E59" s="8" t="s">
        <v>497</v>
      </c>
      <c r="F59" s="8" t="s">
        <v>498</v>
      </c>
      <c r="G59" s="8" t="s">
        <v>499</v>
      </c>
      <c r="H59" s="8" t="s">
        <v>500</v>
      </c>
      <c r="I59" s="8" t="s">
        <v>501</v>
      </c>
      <c r="J59" s="8" t="s">
        <v>502</v>
      </c>
      <c r="K59" s="17" t="s">
        <v>503</v>
      </c>
      <c r="L59" s="15" t="s">
        <v>76</v>
      </c>
      <c r="M59" s="15" t="s">
        <v>77</v>
      </c>
      <c r="N59" s="15" t="s">
        <v>66</v>
      </c>
      <c r="O59" s="8" t="s">
        <v>504</v>
      </c>
      <c r="P59" s="13" t="s">
        <v>259</v>
      </c>
      <c r="Q59" s="8" t="s">
        <v>505</v>
      </c>
    </row>
    <row r="60" spans="1:17" x14ac:dyDescent="0.25">
      <c r="A60" s="11" t="s">
        <v>506</v>
      </c>
      <c r="B60" s="12" t="s">
        <v>22</v>
      </c>
      <c r="C60" s="7" t="s">
        <v>30</v>
      </c>
      <c r="D60" s="7" t="s">
        <v>507</v>
      </c>
      <c r="E60" s="7" t="s">
        <v>508</v>
      </c>
      <c r="F60" s="7" t="s">
        <v>509</v>
      </c>
      <c r="G60" s="7" t="s">
        <v>510</v>
      </c>
      <c r="H60" s="7" t="s">
        <v>511</v>
      </c>
      <c r="I60" s="7" t="s">
        <v>512</v>
      </c>
      <c r="J60" s="7" t="s">
        <v>471</v>
      </c>
      <c r="K60" s="13" t="s">
        <v>63</v>
      </c>
      <c r="L60" s="12" t="s">
        <v>76</v>
      </c>
      <c r="M60" s="12" t="s">
        <v>77</v>
      </c>
      <c r="N60" s="12" t="s">
        <v>66</v>
      </c>
      <c r="O60" s="7" t="s">
        <v>513</v>
      </c>
      <c r="P60" s="13" t="s">
        <v>63</v>
      </c>
      <c r="Q60" s="7" t="s">
        <v>68</v>
      </c>
    </row>
    <row r="61" spans="1:17" x14ac:dyDescent="0.25">
      <c r="A61" s="14" t="s">
        <v>514</v>
      </c>
      <c r="B61" s="15" t="s">
        <v>22</v>
      </c>
      <c r="C61" s="8" t="s">
        <v>30</v>
      </c>
      <c r="D61" s="8" t="s">
        <v>515</v>
      </c>
      <c r="E61" s="8" t="s">
        <v>516</v>
      </c>
      <c r="F61" s="8" t="s">
        <v>517</v>
      </c>
      <c r="G61" s="8" t="s">
        <v>518</v>
      </c>
      <c r="H61" s="8" t="s">
        <v>519</v>
      </c>
      <c r="I61" s="8" t="s">
        <v>520</v>
      </c>
      <c r="J61" s="8" t="s">
        <v>521</v>
      </c>
      <c r="K61" s="13" t="s">
        <v>63</v>
      </c>
      <c r="L61" s="15" t="s">
        <v>76</v>
      </c>
      <c r="M61" s="15" t="s">
        <v>77</v>
      </c>
      <c r="N61" s="15" t="s">
        <v>66</v>
      </c>
      <c r="O61" s="8" t="s">
        <v>522</v>
      </c>
      <c r="P61" s="13" t="s">
        <v>63</v>
      </c>
      <c r="Q61" s="8" t="s">
        <v>68</v>
      </c>
    </row>
    <row r="62" spans="1:17" x14ac:dyDescent="0.25">
      <c r="A62" s="11" t="s">
        <v>523</v>
      </c>
      <c r="B62" s="12" t="s">
        <v>22</v>
      </c>
      <c r="C62" s="7" t="s">
        <v>31</v>
      </c>
      <c r="D62" s="7" t="s">
        <v>524</v>
      </c>
      <c r="E62" s="7" t="s">
        <v>525</v>
      </c>
      <c r="F62" s="7" t="s">
        <v>526</v>
      </c>
      <c r="G62" s="7" t="s">
        <v>527</v>
      </c>
      <c r="H62" s="7" t="s">
        <v>528</v>
      </c>
      <c r="I62" s="7" t="s">
        <v>529</v>
      </c>
      <c r="J62" s="7" t="s">
        <v>530</v>
      </c>
      <c r="K62" s="13" t="s">
        <v>63</v>
      </c>
      <c r="L62" s="12" t="s">
        <v>100</v>
      </c>
      <c r="M62" s="12" t="s">
        <v>65</v>
      </c>
      <c r="N62" s="12" t="s">
        <v>66</v>
      </c>
      <c r="O62" s="7" t="s">
        <v>531</v>
      </c>
      <c r="P62" s="13" t="s">
        <v>63</v>
      </c>
      <c r="Q62" s="7" t="s">
        <v>68</v>
      </c>
    </row>
    <row r="63" spans="1:17" x14ac:dyDescent="0.25">
      <c r="A63" s="14" t="s">
        <v>532</v>
      </c>
      <c r="B63" s="15" t="s">
        <v>22</v>
      </c>
      <c r="C63" s="8" t="s">
        <v>31</v>
      </c>
      <c r="D63" s="8" t="s">
        <v>533</v>
      </c>
      <c r="E63" s="8" t="s">
        <v>534</v>
      </c>
      <c r="F63" s="8" t="s">
        <v>535</v>
      </c>
      <c r="G63" s="8" t="s">
        <v>536</v>
      </c>
      <c r="H63" s="8" t="s">
        <v>537</v>
      </c>
      <c r="I63" s="8" t="s">
        <v>538</v>
      </c>
      <c r="J63" s="8" t="s">
        <v>539</v>
      </c>
      <c r="K63" s="13" t="s">
        <v>63</v>
      </c>
      <c r="L63" s="15" t="s">
        <v>100</v>
      </c>
      <c r="M63" s="15" t="s">
        <v>65</v>
      </c>
      <c r="N63" s="15" t="s">
        <v>66</v>
      </c>
      <c r="O63" s="8" t="s">
        <v>540</v>
      </c>
      <c r="P63" s="13" t="s">
        <v>63</v>
      </c>
      <c r="Q63" s="8" t="s">
        <v>68</v>
      </c>
    </row>
    <row r="64" spans="1:17" x14ac:dyDescent="0.25">
      <c r="A64" s="11" t="s">
        <v>541</v>
      </c>
      <c r="B64" s="12" t="s">
        <v>22</v>
      </c>
      <c r="C64" s="7" t="s">
        <v>32</v>
      </c>
      <c r="D64" s="7" t="s">
        <v>163</v>
      </c>
      <c r="E64" s="7" t="s">
        <v>542</v>
      </c>
      <c r="F64" s="7" t="s">
        <v>543</v>
      </c>
      <c r="G64" s="7" t="s">
        <v>544</v>
      </c>
      <c r="H64" s="7" t="s">
        <v>183</v>
      </c>
      <c r="I64" s="7" t="s">
        <v>545</v>
      </c>
      <c r="J64" s="7" t="s">
        <v>546</v>
      </c>
      <c r="K64" s="13" t="s">
        <v>63</v>
      </c>
      <c r="L64" s="12" t="s">
        <v>76</v>
      </c>
      <c r="M64" s="12" t="s">
        <v>77</v>
      </c>
      <c r="N64" s="12" t="s">
        <v>66</v>
      </c>
      <c r="O64" s="7" t="s">
        <v>547</v>
      </c>
      <c r="P64" s="13" t="s">
        <v>63</v>
      </c>
      <c r="Q64" s="7" t="s">
        <v>548</v>
      </c>
    </row>
    <row r="65" spans="1:17" x14ac:dyDescent="0.25">
      <c r="A65" s="14" t="s">
        <v>549</v>
      </c>
      <c r="B65" s="15" t="s">
        <v>22</v>
      </c>
      <c r="C65" s="8" t="s">
        <v>32</v>
      </c>
      <c r="D65" s="8" t="s">
        <v>163</v>
      </c>
      <c r="E65" s="8" t="s">
        <v>550</v>
      </c>
      <c r="F65" s="8" t="s">
        <v>551</v>
      </c>
      <c r="G65" s="8" t="s">
        <v>552</v>
      </c>
      <c r="H65" s="8" t="s">
        <v>183</v>
      </c>
      <c r="I65" s="8" t="s">
        <v>553</v>
      </c>
      <c r="J65" s="8" t="s">
        <v>68</v>
      </c>
      <c r="K65" s="16" t="s">
        <v>554</v>
      </c>
      <c r="L65" s="15" t="s">
        <v>76</v>
      </c>
      <c r="M65" s="15" t="s">
        <v>115</v>
      </c>
      <c r="N65" s="15" t="s">
        <v>555</v>
      </c>
      <c r="O65" s="8" t="s">
        <v>68</v>
      </c>
      <c r="P65" s="15" t="s">
        <v>183</v>
      </c>
      <c r="Q65" s="8" t="s">
        <v>556</v>
      </c>
    </row>
    <row r="66" spans="1:17" x14ac:dyDescent="0.25">
      <c r="A66" s="11" t="s">
        <v>557</v>
      </c>
      <c r="B66" s="12" t="s">
        <v>22</v>
      </c>
      <c r="C66" s="7" t="s">
        <v>32</v>
      </c>
      <c r="D66" s="7" t="s">
        <v>163</v>
      </c>
      <c r="E66" s="7" t="s">
        <v>550</v>
      </c>
      <c r="F66" s="7" t="s">
        <v>558</v>
      </c>
      <c r="G66" s="7" t="s">
        <v>559</v>
      </c>
      <c r="H66" s="7" t="s">
        <v>183</v>
      </c>
      <c r="I66" s="7" t="s">
        <v>560</v>
      </c>
      <c r="J66" s="7" t="s">
        <v>68</v>
      </c>
      <c r="K66" s="16" t="s">
        <v>554</v>
      </c>
      <c r="L66" s="12" t="s">
        <v>76</v>
      </c>
      <c r="M66" s="12" t="s">
        <v>115</v>
      </c>
      <c r="N66" s="12" t="s">
        <v>555</v>
      </c>
      <c r="O66" s="7" t="s">
        <v>68</v>
      </c>
      <c r="P66" s="12" t="s">
        <v>183</v>
      </c>
      <c r="Q66" s="7" t="s">
        <v>561</v>
      </c>
    </row>
    <row r="67" spans="1:17" x14ac:dyDescent="0.25">
      <c r="A67" s="14" t="s">
        <v>562</v>
      </c>
      <c r="B67" s="15" t="s">
        <v>22</v>
      </c>
      <c r="C67" s="8" t="s">
        <v>33</v>
      </c>
      <c r="D67" s="8" t="s">
        <v>563</v>
      </c>
      <c r="E67" s="8" t="s">
        <v>564</v>
      </c>
      <c r="F67" s="8" t="s">
        <v>565</v>
      </c>
      <c r="G67" s="8" t="s">
        <v>566</v>
      </c>
      <c r="H67" s="8" t="s">
        <v>183</v>
      </c>
      <c r="I67" s="8" t="s">
        <v>567</v>
      </c>
      <c r="J67" s="8" t="s">
        <v>568</v>
      </c>
      <c r="K67" s="13" t="s">
        <v>63</v>
      </c>
      <c r="L67" s="15" t="s">
        <v>100</v>
      </c>
      <c r="M67" s="15" t="s">
        <v>65</v>
      </c>
      <c r="N67" s="15" t="s">
        <v>66</v>
      </c>
      <c r="O67" s="8" t="s">
        <v>569</v>
      </c>
      <c r="P67" s="13" t="s">
        <v>63</v>
      </c>
      <c r="Q67" s="8" t="s">
        <v>68</v>
      </c>
    </row>
    <row r="68" spans="1:17" x14ac:dyDescent="0.25">
      <c r="A68" s="11" t="s">
        <v>570</v>
      </c>
      <c r="B68" s="12" t="s">
        <v>22</v>
      </c>
      <c r="C68" s="7" t="s">
        <v>33</v>
      </c>
      <c r="D68" s="7" t="s">
        <v>563</v>
      </c>
      <c r="E68" s="7" t="s">
        <v>571</v>
      </c>
      <c r="F68" s="7" t="s">
        <v>572</v>
      </c>
      <c r="G68" s="7" t="s">
        <v>573</v>
      </c>
      <c r="H68" s="7" t="s">
        <v>183</v>
      </c>
      <c r="I68" s="7" t="s">
        <v>574</v>
      </c>
      <c r="J68" s="7" t="s">
        <v>471</v>
      </c>
      <c r="K68" s="13" t="s">
        <v>63</v>
      </c>
      <c r="L68" s="12" t="s">
        <v>76</v>
      </c>
      <c r="M68" s="12" t="s">
        <v>77</v>
      </c>
      <c r="N68" s="12" t="s">
        <v>66</v>
      </c>
      <c r="O68" s="7" t="s">
        <v>575</v>
      </c>
      <c r="P68" s="13" t="s">
        <v>63</v>
      </c>
      <c r="Q68" s="7" t="s">
        <v>68</v>
      </c>
    </row>
  </sheetData>
  <autoFilter ref="A3:Q68"/>
  <mergeCells count="2">
    <mergeCell ref="A1:Q1"/>
    <mergeCell ref="A2:Q2"/>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workbookViewId="0" zoomScale="100" zoomScaleNormal="100">
      <pane ySplit="3" topLeftCell="A4" activePane="bottomLeft" state="frozen"/>
      <selection pane="bottomLeft"/>
    </sheetView>
  </sheetViews>
  <sheetFormatPr defaultRowHeight="15" outlineLevelRow="0" outlineLevelCol="0" x14ac:dyDescent="55"/>
  <cols>
    <col min="1" max="1" width="36" customWidth="1"/>
    <col min="2" max="2" width="34" customWidth="1"/>
    <col min="3" max="3" width="50" customWidth="1"/>
    <col min="4" max="4" width="12" customWidth="1"/>
  </cols>
  <sheetData>
    <row r="1" ht="24" customHeight="1" spans="1:4" x14ac:dyDescent="0.25">
      <c r="A1" s="1" t="s">
        <v>576</v>
      </c>
      <c r="B1" s="1"/>
      <c r="C1" s="1"/>
      <c r="D1" s="1"/>
    </row>
    <row r="2" spans="1:4" x14ac:dyDescent="0.25">
      <c r="A2" s="2" t="s">
        <v>577</v>
      </c>
      <c r="B2" s="2"/>
      <c r="C2" s="2"/>
      <c r="D2" s="2"/>
    </row>
    <row r="3" ht="30" customHeight="1" spans="1:4" x14ac:dyDescent="0.25">
      <c r="A3" s="6" t="s">
        <v>578</v>
      </c>
      <c r="B3" s="6" t="s">
        <v>579</v>
      </c>
      <c r="C3" s="6" t="s">
        <v>580</v>
      </c>
      <c r="D3" s="6" t="s">
        <v>581</v>
      </c>
    </row>
    <row r="4" spans="1:4" x14ac:dyDescent="0.25">
      <c r="A4" s="7" t="s">
        <v>582</v>
      </c>
      <c r="B4" s="7" t="s">
        <v>583</v>
      </c>
      <c r="C4" s="7" t="s">
        <v>584</v>
      </c>
      <c r="D4" s="18">
        <v>5</v>
      </c>
    </row>
    <row r="5" spans="1:4" x14ac:dyDescent="0.25">
      <c r="A5" s="8" t="s">
        <v>585</v>
      </c>
      <c r="B5" s="8" t="s">
        <v>586</v>
      </c>
      <c r="C5" s="8" t="s">
        <v>587</v>
      </c>
      <c r="D5" s="19">
        <v>10</v>
      </c>
    </row>
    <row r="6" spans="1:4" x14ac:dyDescent="0.25">
      <c r="A6" s="7" t="s">
        <v>432</v>
      </c>
      <c r="B6" s="7" t="s">
        <v>588</v>
      </c>
      <c r="C6" s="7" t="s">
        <v>589</v>
      </c>
      <c r="D6" s="18">
        <v>2</v>
      </c>
    </row>
    <row r="7" spans="1:4" x14ac:dyDescent="0.25">
      <c r="A7" s="8" t="s">
        <v>590</v>
      </c>
      <c r="B7" s="8" t="s">
        <v>591</v>
      </c>
      <c r="C7" s="8" t="s">
        <v>592</v>
      </c>
      <c r="D7" s="19">
        <v>7</v>
      </c>
    </row>
    <row r="8" spans="1:4" x14ac:dyDescent="0.25">
      <c r="A8" s="7" t="s">
        <v>457</v>
      </c>
      <c r="B8" s="7" t="s">
        <v>593</v>
      </c>
      <c r="C8" s="7" t="s">
        <v>594</v>
      </c>
      <c r="D8" s="18">
        <v>2</v>
      </c>
    </row>
    <row r="9" spans="1:4" x14ac:dyDescent="0.25">
      <c r="A9" s="8" t="s">
        <v>595</v>
      </c>
      <c r="B9" s="8" t="s">
        <v>596</v>
      </c>
      <c r="C9" s="8" t="s">
        <v>597</v>
      </c>
      <c r="D9" s="19">
        <v>3</v>
      </c>
    </row>
    <row r="10" spans="1:4" x14ac:dyDescent="0.25">
      <c r="A10" s="7" t="s">
        <v>598</v>
      </c>
      <c r="B10" s="7" t="s">
        <v>599</v>
      </c>
      <c r="C10" s="7" t="s">
        <v>473</v>
      </c>
      <c r="D10" s="18">
        <v>1</v>
      </c>
    </row>
    <row r="11" spans="1:4" x14ac:dyDescent="0.25">
      <c r="A11" s="8" t="s">
        <v>32</v>
      </c>
      <c r="B11" s="8" t="s">
        <v>600</v>
      </c>
      <c r="C11" s="8" t="s">
        <v>601</v>
      </c>
      <c r="D11" s="19">
        <v>16</v>
      </c>
    </row>
    <row r="12" spans="1:4" x14ac:dyDescent="0.25">
      <c r="A12" s="7" t="s">
        <v>602</v>
      </c>
      <c r="B12" s="7" t="s">
        <v>603</v>
      </c>
      <c r="C12" s="7" t="s">
        <v>604</v>
      </c>
      <c r="D12" s="18">
        <v>2</v>
      </c>
    </row>
    <row r="13" spans="1:4" x14ac:dyDescent="0.25">
      <c r="A13" s="8" t="s">
        <v>605</v>
      </c>
      <c r="B13" s="8" t="s">
        <v>606</v>
      </c>
      <c r="C13" s="8" t="s">
        <v>607</v>
      </c>
      <c r="D13" s="19">
        <v>3</v>
      </c>
    </row>
    <row r="14" spans="1:4" x14ac:dyDescent="0.25">
      <c r="A14" s="7" t="s">
        <v>608</v>
      </c>
      <c r="B14" s="7" t="s">
        <v>586</v>
      </c>
      <c r="C14" s="7" t="s">
        <v>609</v>
      </c>
      <c r="D14" s="18">
        <v>13</v>
      </c>
    </row>
    <row r="15" spans="1:4" x14ac:dyDescent="0.25">
      <c r="A15" s="8" t="s">
        <v>610</v>
      </c>
      <c r="B15" s="8" t="s">
        <v>611</v>
      </c>
      <c r="C15" s="8" t="s">
        <v>612</v>
      </c>
      <c r="D15" s="19">
        <v>3</v>
      </c>
    </row>
  </sheetData>
  <mergeCells count="2">
    <mergeCell ref="A1:D1"/>
    <mergeCell ref="A2:D2"/>
  </mergeCell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zoomScale="100" zoomScaleNormal="100">
      <pane ySplit="3" topLeftCell="A4" activePane="bottomLeft" state="frozen"/>
      <selection pane="bottomLeft"/>
    </sheetView>
  </sheetViews>
  <sheetFormatPr defaultRowHeight="15" outlineLevelRow="0" outlineLevelCol="0" x14ac:dyDescent="55"/>
  <cols>
    <col min="2" max="2" width="12" customWidth="1"/>
    <col min="3" max="3" width="11" customWidth="1"/>
    <col min="4" max="4" width="34" customWidth="1"/>
    <col min="5" max="5" width="40" customWidth="1"/>
    <col min="6" max="7" width="36" customWidth="1"/>
    <col min="8" max="8" width="10" customWidth="1"/>
  </cols>
  <sheetData>
    <row r="1" ht="24" customHeight="1" spans="1:9" x14ac:dyDescent="0.25">
      <c r="A1" s="1" t="s">
        <v>613</v>
      </c>
      <c r="B1" s="1"/>
      <c r="C1" s="1"/>
      <c r="D1" s="1"/>
      <c r="E1" s="1"/>
      <c r="F1" s="1"/>
      <c r="G1" s="1"/>
      <c r="H1" s="1"/>
      <c r="I1" s="1"/>
    </row>
    <row r="2" spans="1:9" x14ac:dyDescent="0.25">
      <c r="A2" s="2" t="s">
        <v>614</v>
      </c>
      <c r="B2" s="2"/>
      <c r="C2" s="2"/>
      <c r="D2" s="2"/>
      <c r="E2" s="2"/>
      <c r="F2" s="2"/>
      <c r="G2" s="2"/>
      <c r="H2" s="2"/>
      <c r="I2" s="2"/>
    </row>
    <row r="3" ht="30" customHeight="1" spans="1:9" x14ac:dyDescent="0.25">
      <c r="A3" s="6" t="s">
        <v>615</v>
      </c>
      <c r="B3" s="6" t="s">
        <v>13</v>
      </c>
      <c r="C3" s="6" t="s">
        <v>43</v>
      </c>
      <c r="D3" s="6" t="s">
        <v>616</v>
      </c>
      <c r="E3" s="6" t="s">
        <v>617</v>
      </c>
      <c r="F3" s="6" t="s">
        <v>618</v>
      </c>
      <c r="G3" s="6" t="s">
        <v>619</v>
      </c>
      <c r="H3" s="6" t="s">
        <v>51</v>
      </c>
      <c r="I3" s="6" t="s">
        <v>52</v>
      </c>
    </row>
    <row r="4" spans="1:9" x14ac:dyDescent="0.25">
      <c r="A4" s="7" t="s">
        <v>620</v>
      </c>
      <c r="B4" s="7" t="s">
        <v>21</v>
      </c>
      <c r="C4" s="7" t="s">
        <v>251</v>
      </c>
      <c r="D4" s="7" t="s">
        <v>253</v>
      </c>
      <c r="E4" s="7" t="s">
        <v>254</v>
      </c>
      <c r="F4" s="7" t="s">
        <v>255</v>
      </c>
      <c r="G4" s="7" t="s">
        <v>256</v>
      </c>
      <c r="H4" s="7" t="s">
        <v>124</v>
      </c>
      <c r="I4" s="7" t="s">
        <v>115</v>
      </c>
    </row>
    <row r="5" spans="1:9" x14ac:dyDescent="0.25">
      <c r="A5" s="8" t="s">
        <v>621</v>
      </c>
      <c r="B5" s="8" t="s">
        <v>21</v>
      </c>
      <c r="C5" s="8" t="s">
        <v>371</v>
      </c>
      <c r="D5" s="8" t="s">
        <v>372</v>
      </c>
      <c r="E5" s="8" t="s">
        <v>373</v>
      </c>
      <c r="F5" s="8" t="s">
        <v>374</v>
      </c>
      <c r="G5" s="8" t="s">
        <v>375</v>
      </c>
      <c r="H5" s="8" t="s">
        <v>124</v>
      </c>
      <c r="I5" s="8" t="s">
        <v>115</v>
      </c>
    </row>
    <row r="6" spans="1:9" x14ac:dyDescent="0.25">
      <c r="A6" s="7" t="s">
        <v>622</v>
      </c>
      <c r="B6" s="7" t="s">
        <v>21</v>
      </c>
      <c r="C6" s="7" t="s">
        <v>386</v>
      </c>
      <c r="D6" s="7" t="s">
        <v>388</v>
      </c>
      <c r="E6" s="7" t="s">
        <v>389</v>
      </c>
      <c r="F6" s="7" t="s">
        <v>391</v>
      </c>
      <c r="G6" s="7" t="s">
        <v>392</v>
      </c>
      <c r="H6" s="7" t="s">
        <v>100</v>
      </c>
      <c r="I6" s="7" t="s">
        <v>65</v>
      </c>
    </row>
    <row r="7" spans="1:9" x14ac:dyDescent="0.25">
      <c r="A7" s="8" t="s">
        <v>623</v>
      </c>
      <c r="B7" s="8" t="s">
        <v>22</v>
      </c>
      <c r="C7" s="8" t="s">
        <v>496</v>
      </c>
      <c r="D7" s="8" t="s">
        <v>498</v>
      </c>
      <c r="E7" s="8" t="s">
        <v>499</v>
      </c>
      <c r="F7" s="8" t="s">
        <v>501</v>
      </c>
      <c r="G7" s="8" t="s">
        <v>502</v>
      </c>
      <c r="H7" s="8" t="s">
        <v>76</v>
      </c>
      <c r="I7" s="8" t="s">
        <v>77</v>
      </c>
    </row>
  </sheetData>
  <mergeCells count="2">
    <mergeCell ref="A1:I1"/>
    <mergeCell ref="A2:I2"/>
  </mergeCell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Test Cases</vt:lpstr>
      <vt:lpstr>Requirement Coverage</vt:lpstr>
      <vt:lpstr>Defects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VOID examples</dc:creator>
  <dc:title>Master Test Cases</dc:title>
  <dc:subject/>
  <dc:description/>
  <cp:keywords/>
  <cp:category/>
  <cp:lastModifiedBy>Unknown</cp:lastModifiedBy>
  <dcterms:created xsi:type="dcterms:W3CDTF">2026-10-28T09:52:17Z</dcterms:created>
  <dcterms:modified xsi:type="dcterms:W3CDTF">2026-10-28T09:52:17Z</dcterms:modified>
</cp:coreProperties>
</file>